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en" sheetId="1" state="visible" r:id="rId3"/>
    <sheet name="Prospectos" sheetId="2" state="visible" r:id="rId4"/>
    <sheet name="Paquetes B2B" sheetId="3" state="visible" r:id="rId5"/>
    <sheet name="Competidores y revisar" sheetId="4" state="visible" r:id="rId6"/>
    <sheet name="Metodología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<sst xmlns="http://schemas.openxmlformats.org/spreadsheetml/2006/main" count="916" uniqueCount="465">
  <si>
    <t xml:space="preserve">Invita Ya · Prospección B2B México</t>
  </si>
  <si>
    <t xml:space="preserve">Indicador</t>
  </si>
  <si>
    <t xml:space="preserve">Valor</t>
  </si>
  <si>
    <t xml:space="preserve">Prioridad comercial</t>
  </si>
  <si>
    <t xml:space="preserve">Qué significa</t>
  </si>
  <si>
    <t xml:space="preserve">Acción</t>
  </si>
  <si>
    <t xml:space="preserve">Prospectos verificados</t>
  </si>
  <si>
    <t xml:space="preserve">A</t>
  </si>
  <si>
    <t xml:space="preserve">Salones/agencias con paquetes, multievento o volumen público</t>
  </si>
  <si>
    <t xml:space="preserve">Contactar primero con demo y margen de reventa</t>
  </si>
  <si>
    <t xml:space="preserve">Prioridad A</t>
  </si>
  <si>
    <t xml:space="preserve">B</t>
  </si>
  <si>
    <t xml:space="preserve">Buen encaje, pero menor control del paquete o nicho más estrecho</t>
  </si>
  <si>
    <t xml:space="preserve">Contactar después del primer piloto</t>
  </si>
  <si>
    <t xml:space="preserve">Prioridad B</t>
  </si>
  <si>
    <t xml:space="preserve">Revisar</t>
  </si>
  <si>
    <t xml:space="preserve">Ya ofrece invitación o la evidencia no es concluyente</t>
  </si>
  <si>
    <t xml:space="preserve">Calificar antes de presentar propuesta</t>
  </si>
  <si>
    <t xml:space="preserve">Estados / zonas cubiertas</t>
  </si>
  <si>
    <t xml:space="preserve">Con invitación digital visible</t>
  </si>
  <si>
    <t xml:space="preserve">Fecha de revisión</t>
  </si>
  <si>
    <t xml:space="preserve">2026-06-30</t>
  </si>
  <si>
    <t xml:space="preserve">Recomendación: iniciar con 10 prospectos A de una sola ciudad, vender un piloto prepagado y medir reuniones, cierres y créditos usados antes de escalar nacionalmente.</t>
  </si>
  <si>
    <t xml:space="preserve">Empresa</t>
  </si>
  <si>
    <t xml:space="preserve">Tipo</t>
  </si>
  <si>
    <t xml:space="preserve">Ciudad / zona</t>
  </si>
  <si>
    <t xml:space="preserve">Estado(s)</t>
  </si>
  <si>
    <t xml:space="preserve">Eventos atendidos</t>
  </si>
  <si>
    <t xml:space="preserve">Oferta pública resumida</t>
  </si>
  <si>
    <t xml:space="preserve">Revisión invitación digital</t>
  </si>
  <si>
    <t xml:space="preserve">Fecha revisión</t>
  </si>
  <si>
    <t xml:space="preserve">Puntaje</t>
  </si>
  <si>
    <t xml:space="preserve">Prioridad</t>
  </si>
  <si>
    <t xml:space="preserve">Razón de encaje</t>
  </si>
  <si>
    <t xml:space="preserve">Oferta sugerida</t>
  </si>
  <si>
    <t xml:space="preserve">Sitio oficial</t>
  </si>
  <si>
    <t xml:space="preserve">Estatus</t>
  </si>
  <si>
    <t xml:space="preserve">Próxima acción</t>
  </si>
  <si>
    <t xml:space="preserve">Responsable</t>
  </si>
  <si>
    <t xml:space="preserve">Notas</t>
  </si>
  <si>
    <t xml:space="preserve">Amore Wedding &amp; Event Planners</t>
  </si>
  <si>
    <t xml:space="preserve">Wedding planner</t>
  </si>
  <si>
    <t xml:space="preserve">Saltillo / Monterrey</t>
  </si>
  <si>
    <t xml:space="preserve">Coahuila / Nuevo León</t>
  </si>
  <si>
    <t xml:space="preserve">Bodas locales y destino</t>
  </si>
  <si>
    <t xml:space="preserve">Planeación y diseño integral; más de 10 años</t>
  </si>
  <si>
    <t xml:space="preserve">No visible en el sitio revisado</t>
  </si>
  <si>
    <t xml:space="preserve">Agencia recurrente</t>
  </si>
  <si>
    <t xml:space="preserve">Piloto 5 créditos</t>
  </si>
  <si>
    <t xml:space="preserve">https://www.amorewep.com/</t>
  </si>
  <si>
    <t xml:space="preserve">Sin contactar</t>
  </si>
  <si>
    <t xml:space="preserve">Enviar presentación + demo</t>
  </si>
  <si>
    <t xml:space="preserve">Salón Villagrand</t>
  </si>
  <si>
    <t xml:space="preserve">Salón con paquetes</t>
  </si>
  <si>
    <t xml:space="preserve">Querétaro</t>
  </si>
  <si>
    <t xml:space="preserve">Bodas, XV, graduaciones, bautizos, comuniones, infantiles y corporativos</t>
  </si>
  <si>
    <t xml:space="preserve">Organización integral, gastronomía y producción; paquetes personalizables</t>
  </si>
  <si>
    <t xml:space="preserve">Alto volumen multievento</t>
  </si>
  <si>
    <t xml:space="preserve">Paquete Agencia 15</t>
  </si>
  <si>
    <t xml:space="preserve">https://salonvillagrand.mx/</t>
  </si>
  <si>
    <t xml:space="preserve">Rose Élite</t>
  </si>
  <si>
    <t xml:space="preserve">Monterrey</t>
  </si>
  <si>
    <t xml:space="preserve">Nuevo León</t>
  </si>
  <si>
    <t xml:space="preserve">Bodas y eventos especiales</t>
  </si>
  <si>
    <t xml:space="preserve">Planeación completa y coordinación del día</t>
  </si>
  <si>
    <t xml:space="preserve">Puede revender como complemento</t>
  </si>
  <si>
    <t xml:space="preserve">https://rose-elite.ueniweb.com/</t>
  </si>
  <si>
    <t xml:space="preserve">Luz y Sonido MX</t>
  </si>
  <si>
    <t xml:space="preserve">Producción / DJ</t>
  </si>
  <si>
    <t xml:space="preserve">Guadalajara</t>
  </si>
  <si>
    <t xml:space="preserve">Jalisco</t>
  </si>
  <si>
    <t xml:space="preserve">Bodas, XV, graduaciones y corporativos</t>
  </si>
  <si>
    <t xml:space="preserve">Audio, iluminación, DJ y montajes; más de 30 años</t>
  </si>
  <si>
    <t xml:space="preserve">Proveedor con miles de eventos y venta cruzada</t>
  </si>
  <si>
    <t xml:space="preserve">https://luzysonido.mx/</t>
  </si>
  <si>
    <t xml:space="preserve">Event Planner México</t>
  </si>
  <si>
    <t xml:space="preserve">Agencia de eventos</t>
  </si>
  <si>
    <t xml:space="preserve">Ciudad de México</t>
  </si>
  <si>
    <t xml:space="preserve">CDMX</t>
  </si>
  <si>
    <t xml:space="preserve">Bodas premium, despedidas, destination y corporativos</t>
  </si>
  <si>
    <t xml:space="preserve">Coordinación 360 y red de venues; más de 200 bodas declaradas</t>
  </si>
  <si>
    <t xml:space="preserve">No visible en la página revisada</t>
  </si>
  <si>
    <t xml:space="preserve">Ticket alto y red de proveedores</t>
  </si>
  <si>
    <t xml:space="preserve">https://www.eventplannermexico.mx/bodas/wedding-planner-cdmx/</t>
  </si>
  <si>
    <t xml:space="preserve">U Wedding &amp; Travels</t>
  </si>
  <si>
    <t xml:space="preserve">Wedding planner / viajes</t>
  </si>
  <si>
    <t xml:space="preserve">Bodas destino y eventos empresariales</t>
  </si>
  <si>
    <t xml:space="preserve">Planeación de eventos, viajes y hospedaje</t>
  </si>
  <si>
    <t xml:space="preserve">Invitación útil para invitados que viajan</t>
  </si>
  <si>
    <t xml:space="preserve">https://www.utravels.mx/</t>
  </si>
  <si>
    <t xml:space="preserve">Salón Terranova</t>
  </si>
  <si>
    <t xml:space="preserve">Salón de eventos</t>
  </si>
  <si>
    <t xml:space="preserve">XV, graduaciones, sociales y empresariales</t>
  </si>
  <si>
    <t xml:space="preserve">Salón premium hasta 100 invitados</t>
  </si>
  <si>
    <t xml:space="preserve">Venta sencilla dentro de cada paquete</t>
  </si>
  <si>
    <t xml:space="preserve">https://salonterranova.com/</t>
  </si>
  <si>
    <t xml:space="preserve">Balulu Event Planner</t>
  </si>
  <si>
    <t xml:space="preserve">Bodas locales, destino y eventos sociales</t>
  </si>
  <si>
    <t xml:space="preserve">Coordinación, proveedores y confirmación de invitados</t>
  </si>
  <si>
    <t xml:space="preserve">Ya gestiona confirmaciones; encaje directo con RSVP</t>
  </si>
  <si>
    <t xml:space="preserve">https://balulu.com.mx/</t>
  </si>
  <si>
    <t xml:space="preserve">Blue Velvet Wedding Planners</t>
  </si>
  <si>
    <t xml:space="preserve">Bodas</t>
  </si>
  <si>
    <t xml:space="preserve">Planeación de bodas</t>
  </si>
  <si>
    <t xml:space="preserve">Complemento natural, aunque enfocado solo en bodas</t>
  </si>
  <si>
    <t xml:space="preserve">https://www.bluevelvetwp.com/</t>
  </si>
  <si>
    <t xml:space="preserve">Hacienda Castillo</t>
  </si>
  <si>
    <t xml:space="preserve">Venue / hacienda</t>
  </si>
  <si>
    <t xml:space="preserve">Bodas, XV, retiros, bautizos y empresariales</t>
  </si>
  <si>
    <t xml:space="preserve">Locación y realización de eventos</t>
  </si>
  <si>
    <t xml:space="preserve">Venue multievento con venta por paquete</t>
  </si>
  <si>
    <t xml:space="preserve">https://www.haciendacastillo.mx/</t>
  </si>
  <si>
    <t xml:space="preserve">Cnit Weddings</t>
  </si>
  <si>
    <t xml:space="preserve">Bodas, XV y eventos sociales</t>
  </si>
  <si>
    <t xml:space="preserve">Organización y red de proveedores</t>
  </si>
  <si>
    <t xml:space="preserve">Puede incorporar Invita Ya a su proveeduría</t>
  </si>
  <si>
    <t xml:space="preserve">https://www.cnit.mx/eventos-sociales.php</t>
  </si>
  <si>
    <t xml:space="preserve">Bakú Events</t>
  </si>
  <si>
    <t xml:space="preserve">Mérida</t>
  </si>
  <si>
    <t xml:space="preserve">Yucatán</t>
  </si>
  <si>
    <t xml:space="preserve">Bodas locales, playa y destino</t>
  </si>
  <si>
    <t xml:space="preserve">Diseño, planificación y coordinación desde 2005</t>
  </si>
  <si>
    <t xml:space="preserve">Experiencia y alcance nacional/destino</t>
  </si>
  <si>
    <t xml:space="preserve">https://bakuevents.com/home/</t>
  </si>
  <si>
    <t xml:space="preserve">Mónica Eventos &amp; Bodas</t>
  </si>
  <si>
    <t xml:space="preserve">Wedding planner / floral</t>
  </si>
  <si>
    <t xml:space="preserve">Bodas, XV, corporativos y sociales</t>
  </si>
  <si>
    <t xml:space="preserve">Coordinación, diseño floral, decoración y montaje</t>
  </si>
  <si>
    <t xml:space="preserve">Multievento y oferta integral</t>
  </si>
  <si>
    <t xml:space="preserve">https://monicaeventosybodas.com/</t>
  </si>
  <si>
    <t xml:space="preserve">Amara Experiencias</t>
  </si>
  <si>
    <t xml:space="preserve">Agencia / banquetes</t>
  </si>
  <si>
    <t xml:space="preserve">Puebla</t>
  </si>
  <si>
    <t xml:space="preserve">Sociales, bodas y corporativos</t>
  </si>
  <si>
    <t xml:space="preserve">Organización, diseño, decoración y banquetes</t>
  </si>
  <si>
    <t xml:space="preserve">Oferta integral con oportunidad clara de bundle</t>
  </si>
  <si>
    <t xml:space="preserve">https://amaraexperiencias.mx/</t>
  </si>
  <si>
    <t xml:space="preserve">Stilo's Banquetes</t>
  </si>
  <si>
    <t xml:space="preserve">Banquetera / wedding planner</t>
  </si>
  <si>
    <t xml:space="preserve">Bodas destino</t>
  </si>
  <si>
    <t xml:space="preserve">Banquetes, diseño y coordinación</t>
  </si>
  <si>
    <t xml:space="preserve">Puede incluir invitación dentro del banquete premium</t>
  </si>
  <si>
    <t xml:space="preserve">https://stilosbanquetes.com/wedding-planner/</t>
  </si>
  <si>
    <t xml:space="preserve">Charming Studio</t>
  </si>
  <si>
    <t xml:space="preserve">Bodas destino, cumpleaños, bautizos y sociales</t>
  </si>
  <si>
    <t xml:space="preserve">Planeación, candy bar y mesas de postres</t>
  </si>
  <si>
    <t xml:space="preserve">Multievento y venta cruzada</t>
  </si>
  <si>
    <t xml:space="preserve">https://charmingstudio.wordpress.com/</t>
  </si>
  <si>
    <t xml:space="preserve">Divana Eventos</t>
  </si>
  <si>
    <t xml:space="preserve">Mobiliario / producción</t>
  </si>
  <si>
    <t xml:space="preserve">San Luis Potosí</t>
  </si>
  <si>
    <t xml:space="preserve">Bodas y corporativos en el Bajío</t>
  </si>
  <si>
    <t xml:space="preserve">Mobiliario premium y organización integral empresarial</t>
  </si>
  <si>
    <t xml:space="preserve">Acceso a red de planners del Bajío</t>
  </si>
  <si>
    <t xml:space="preserve">https://divanaeventos.com/</t>
  </si>
  <si>
    <t xml:space="preserve">Mónica González Banquetes</t>
  </si>
  <si>
    <t xml:space="preserve">Banquetera</t>
  </si>
  <si>
    <t xml:space="preserve">Bodas, cumpleaños y eventos sociales</t>
  </si>
  <si>
    <t xml:space="preserve">Alta cocina y convenios con wedding planners</t>
  </si>
  <si>
    <t xml:space="preserve">Alianza por su red de planners y clientes</t>
  </si>
  <si>
    <t xml:space="preserve">https://www.mgbanquetes.com/servicios</t>
  </si>
  <si>
    <t xml:space="preserve">Equis-O Eventos</t>
  </si>
  <si>
    <t xml:space="preserve">Oaxaca de Juárez</t>
  </si>
  <si>
    <t xml:space="preserve">Oaxaca</t>
  </si>
  <si>
    <t xml:space="preserve">Bodas destino, civiles, religiosas y LGBT+</t>
  </si>
  <si>
    <t xml:space="preserve">Planeación integral y locaciones en ciudad/costa</t>
  </si>
  <si>
    <t xml:space="preserve">Bodas destino se benefician de mapa, itinerario y RSVP</t>
  </si>
  <si>
    <t xml:space="preserve">https://www.equis-o.com/</t>
  </si>
  <si>
    <t xml:space="preserve">Vero Vivas</t>
  </si>
  <si>
    <t xml:space="preserve">Producción, logística, floral, catering, música y foto/video</t>
  </si>
  <si>
    <t xml:space="preserve">Oferta premium con espacio para white-label</t>
  </si>
  <si>
    <t xml:space="preserve">https://verovivas.com/about.html</t>
  </si>
  <si>
    <t xml:space="preserve">Mariza Ordaz Wedding Planner</t>
  </si>
  <si>
    <t xml:space="preserve">Bodas en ciudad y playa</t>
  </si>
  <si>
    <t xml:space="preserve">Planeación y programa de boda</t>
  </si>
  <si>
    <t xml:space="preserve">Invitación con itinerario agrega valor en bodas destino</t>
  </si>
  <si>
    <t xml:space="preserve">https://bodasenoaxaca.com.mx/</t>
  </si>
  <si>
    <t xml:space="preserve">Armonía Weddings</t>
  </si>
  <si>
    <t xml:space="preserve">Cancún / Riviera Maya</t>
  </si>
  <si>
    <t xml:space="preserve">Quintana Roo</t>
  </si>
  <si>
    <t xml:space="preserve">Coordinación, decoración y planificación</t>
  </si>
  <si>
    <t xml:space="preserve">Mapas, hospedaje e itinerario son argumentos fuertes</t>
  </si>
  <si>
    <t xml:space="preserve">https://armoniaweddings.com/</t>
  </si>
  <si>
    <t xml:space="preserve">Eventives Destination Weddings</t>
  </si>
  <si>
    <t xml:space="preserve">Puerto Vallarta / Los Cabos</t>
  </si>
  <si>
    <t xml:space="preserve">Jalisco / Baja California Sur</t>
  </si>
  <si>
    <t xml:space="preserve">Planeación en Vallarta, Punta Mita, Sayulita y Cabo</t>
  </si>
  <si>
    <t xml:space="preserve">Cobertura multi-destino y ticket alto</t>
  </si>
  <si>
    <t xml:space="preserve">https://www.eventives.com.mx/</t>
  </si>
  <si>
    <t xml:space="preserve">The Wedding Planner / Gretel Weddings</t>
  </si>
  <si>
    <t xml:space="preserve">Puerto Vallarta</t>
  </si>
  <si>
    <t xml:space="preserve">Planeación y paquetes completos de boda</t>
  </si>
  <si>
    <t xml:space="preserve">Paquetes de alto ticket permiten buen margen</t>
  </si>
  <si>
    <t xml:space="preserve">https://www.theweddingplanner.mx/</t>
  </si>
  <si>
    <t xml:space="preserve">Younique by Kelley</t>
  </si>
  <si>
    <t xml:space="preserve">Bodas destino, civiles y religiosas</t>
  </si>
  <si>
    <t xml:space="preserve">Planeación completa, parcial y coordinación del día</t>
  </si>
  <si>
    <t xml:space="preserve">Boutique con cobertura del occidente de México</t>
  </si>
  <si>
    <t xml:space="preserve">https://youniquebykelley.com/</t>
  </si>
  <si>
    <t xml:space="preserve">Blossom Cancún</t>
  </si>
  <si>
    <t xml:space="preserve">Diseño / producción</t>
  </si>
  <si>
    <t xml:space="preserve">Cancún / Riviera Maya / Tulum</t>
  </si>
  <si>
    <t xml:space="preserve">Bodas, cumpleaños, privados y corporativos</t>
  </si>
  <si>
    <t xml:space="preserve">Diseño floral, decoración, mobiliario y producción</t>
  </si>
  <si>
    <t xml:space="preserve">Cliente premium y múltiples tipos de evento</t>
  </si>
  <si>
    <t xml:space="preserve">https://www.blossomcancun.com/</t>
  </si>
  <si>
    <t xml:space="preserve">Vallarta Vows</t>
  </si>
  <si>
    <t xml:space="preserve">Estudio de planeación de bodas destino</t>
  </si>
  <si>
    <t xml:space="preserve">Especialista con necesidad recurrente</t>
  </si>
  <si>
    <t xml:space="preserve">https://www.vallartavows.com/</t>
  </si>
  <si>
    <t xml:space="preserve">Prisar Luxury Weddings and Events</t>
  </si>
  <si>
    <t xml:space="preserve">Puerto Vallarta / Punta Mita</t>
  </si>
  <si>
    <t xml:space="preserve">Jalisco / Nayarit</t>
  </si>
  <si>
    <t xml:space="preserve">Bodas luxury y destino</t>
  </si>
  <si>
    <t xml:space="preserve">Planeación y diseño; viaja a varios destinos de México</t>
  </si>
  <si>
    <t xml:space="preserve">Alcance nacional y ticket premium</t>
  </si>
  <si>
    <t xml:space="preserve">https://prisarvallarta.com/</t>
  </si>
  <si>
    <t xml:space="preserve">Tipsy Bar</t>
  </si>
  <si>
    <t xml:space="preserve">Barra móvil</t>
  </si>
  <si>
    <t xml:space="preserve">Tijuana / Tecate / Rosarito</t>
  </si>
  <si>
    <t xml:space="preserve">Baja California</t>
  </si>
  <si>
    <t xml:space="preserve">Bodas, XV, cumpleaños y corporativos</t>
  </si>
  <si>
    <t xml:space="preserve">Coctelería móvil con más de 500 eventos declarados</t>
  </si>
  <si>
    <t xml:space="preserve">Buen canal de referidos; menos control del paquete total</t>
  </si>
  <si>
    <t xml:space="preserve">Programa de referidos</t>
  </si>
  <si>
    <t xml:space="preserve">https://tipsybar.mx/</t>
  </si>
  <si>
    <t xml:space="preserve">MC Wedding &amp; Event Planner</t>
  </si>
  <si>
    <t xml:space="preserve">Tijuana / Rosarito / Ensenada</t>
  </si>
  <si>
    <t xml:space="preserve">Bodas, XV y sociales</t>
  </si>
  <si>
    <t xml:space="preserve">Planeación, diseño y coordinación regional</t>
  </si>
  <si>
    <t xml:space="preserve">Multievento y cobertura regional</t>
  </si>
  <si>
    <t xml:space="preserve">https://www.mcweddingplanner.com.mx/</t>
  </si>
  <si>
    <t xml:space="preserve">Jardines del Sol</t>
  </si>
  <si>
    <t xml:space="preserve">Tijuana</t>
  </si>
  <si>
    <t xml:space="preserve">Bodas, XV, graduaciones, posadas y corporativos</t>
  </si>
  <si>
    <t xml:space="preserve">Más de 20 años; coordinadores y paquetes completos</t>
  </si>
  <si>
    <t xml:space="preserve">Venue recurrente con paquetes propios</t>
  </si>
  <si>
    <t xml:space="preserve">https://jardinesdelsol.com.mx/</t>
  </si>
  <si>
    <t xml:space="preserve">Eventos Jiménez</t>
  </si>
  <si>
    <t xml:space="preserve">Planner / decoración</t>
  </si>
  <si>
    <t xml:space="preserve">Bodas, XV, graduaciones, corporativos y privados</t>
  </si>
  <si>
    <t xml:space="preserve">Coordinación y decoración; más de 16 años</t>
  </si>
  <si>
    <t xml:space="preserve">Multievento y control de la planeación</t>
  </si>
  <si>
    <t xml:space="preserve">https://www.decoraciondeeventosjimenez.com/</t>
  </si>
  <si>
    <t xml:space="preserve">Banquetes Vargas / Salón Alba Roja</t>
  </si>
  <si>
    <t xml:space="preserve">Banquetera / salón</t>
  </si>
  <si>
    <t xml:space="preserve">Bodas, XV, infantiles, graduaciones y corporativos</t>
  </si>
  <si>
    <t xml:space="preserve">Paquetes completos, banquete, música y coordinación; más de 30 años</t>
  </si>
  <si>
    <t xml:space="preserve">Cliente ideal: venue, paquete completo y volumen</t>
  </si>
  <si>
    <t xml:space="preserve">Paquete Pro 40</t>
  </si>
  <si>
    <t xml:space="preserve">https://www.banquetesvargas.com.mx/</t>
  </si>
  <si>
    <t xml:space="preserve">Martha Olguín</t>
  </si>
  <si>
    <t xml:space="preserve">Bodas, XV, corporativos, bautizos, baby showers y cumpleaños</t>
  </si>
  <si>
    <t xml:space="preserve">Planeación, coordinación y decoración personalizada</t>
  </si>
  <si>
    <t xml:space="preserve">Gran variedad de eventos y control de diseño</t>
  </si>
  <si>
    <t xml:space="preserve">https://marthaolguin.com/</t>
  </si>
  <si>
    <t xml:space="preserve">Saúl Quintana Events</t>
  </si>
  <si>
    <t xml:space="preserve">Hermosillo</t>
  </si>
  <si>
    <t xml:space="preserve">Sonora</t>
  </si>
  <si>
    <t xml:space="preserve">Planeación, proveedores y coordinación</t>
  </si>
  <si>
    <t xml:space="preserve">Entrada a mercado Sonora</t>
  </si>
  <si>
    <t xml:space="preserve">https://www.saulquintanaevents.com/servicios</t>
  </si>
  <si>
    <t xml:space="preserve">Salón Lux</t>
  </si>
  <si>
    <t xml:space="preserve">Bodas, XV, bautizos y empresariales</t>
  </si>
  <si>
    <t xml:space="preserve">Salón y jardín con capacidad flexible</t>
  </si>
  <si>
    <t xml:space="preserve">Venta adicional en cada reserva</t>
  </si>
  <si>
    <t xml:space="preserve">https://salonluxslp.com.mx/</t>
  </si>
  <si>
    <t xml:space="preserve">Jardín Los Olivos</t>
  </si>
  <si>
    <t xml:space="preserve">Venue / jardín</t>
  </si>
  <si>
    <t xml:space="preserve">Bodas, XV, corporativos y bautizos</t>
  </si>
  <si>
    <t xml:space="preserve">Más de 20 años y 800+ eventos declarados</t>
  </si>
  <si>
    <t xml:space="preserve">Volumen probado y varios segmentos</t>
  </si>
  <si>
    <t xml:space="preserve">https://jardinlosolivos.com/</t>
  </si>
  <si>
    <t xml:space="preserve">Quinta San Carlos</t>
  </si>
  <si>
    <t xml:space="preserve">Soledad de Graciano Sánchez</t>
  </si>
  <si>
    <t xml:space="preserve">Bodas, XV, cumpleaños y empresariales</t>
  </si>
  <si>
    <t xml:space="preserve">Salón para eventos sociales y corporativos</t>
  </si>
  <si>
    <t xml:space="preserve">Venta adicional simple</t>
  </si>
  <si>
    <t xml:space="preserve">https://www.salonesquintasancarlos.com/</t>
  </si>
  <si>
    <t xml:space="preserve">TeckFlyer Creative</t>
  </si>
  <si>
    <t xml:space="preserve">Foto y video</t>
  </si>
  <si>
    <t xml:space="preserve">León</t>
  </si>
  <si>
    <t xml:space="preserve">Guanajuato</t>
  </si>
  <si>
    <t xml:space="preserve">Bodas y XV</t>
  </si>
  <si>
    <t xml:space="preserve">Foto documental, video 4K y paquetes</t>
  </si>
  <si>
    <t xml:space="preserve">Puede vender invitación junto con save-the-date</t>
  </si>
  <si>
    <t xml:space="preserve">https://teckflyercreative.com/</t>
  </si>
  <si>
    <t xml:space="preserve">Salón El Tejado</t>
  </si>
  <si>
    <t xml:space="preserve">Bodas, XV, conferencias y graduaciones</t>
  </si>
  <si>
    <t xml:space="preserve">Todo incluido desde 50 personas, DJ y maestro de ceremonias</t>
  </si>
  <si>
    <t xml:space="preserve">Paquetes recurrentes y venta todo incluido</t>
  </si>
  <si>
    <t xml:space="preserve">https://eventoseltejado.com.mx/</t>
  </si>
  <si>
    <t xml:space="preserve">Rincón del Mezquite</t>
  </si>
  <si>
    <t xml:space="preserve">Aguascalientes</t>
  </si>
  <si>
    <t xml:space="preserve">Bodas, XV, corporativos y familiares</t>
  </si>
  <si>
    <t xml:space="preserve">Paquetes con mobiliario y servicio</t>
  </si>
  <si>
    <t xml:space="preserve">Buen encaje para bundle por evento</t>
  </si>
  <si>
    <t xml:space="preserve">https://www.rincondelmezquite.com/</t>
  </si>
  <si>
    <t xml:space="preserve">Villa Constanza</t>
  </si>
  <si>
    <t xml:space="preserve">Bodas, XV, baby shower y empresariales</t>
  </si>
  <si>
    <t xml:space="preserve">Paquetes Deluxe, Universal, Premium y corporativo</t>
  </si>
  <si>
    <t xml:space="preserve">Arquitectura de paquetes ya establecida</t>
  </si>
  <si>
    <t xml:space="preserve">https://www.villaconstanza.com.mx/</t>
  </si>
  <si>
    <t xml:space="preserve">La Lucerna</t>
  </si>
  <si>
    <t xml:space="preserve">Jardín de eventos</t>
  </si>
  <si>
    <t xml:space="preserve">Jesús María</t>
  </si>
  <si>
    <t xml:space="preserve">Venue, decoración y mobiliario</t>
  </si>
  <si>
    <t xml:space="preserve">Puede agregar invitación a decoración/venue</t>
  </si>
  <si>
    <t xml:space="preserve">https://lalucerna.com.mx/</t>
  </si>
  <si>
    <t xml:space="preserve">Salón Inolvidable</t>
  </si>
  <si>
    <t xml:space="preserve">Salón / jardín</t>
  </si>
  <si>
    <t xml:space="preserve">Zona metropolitana CDMX</t>
  </si>
  <si>
    <t xml:space="preserve">Estado de México</t>
  </si>
  <si>
    <t xml:space="preserve">Bodas, XV, sociales y empresariales</t>
  </si>
  <si>
    <t xml:space="preserve">Renta, paquetes, souvenirs y candy bar</t>
  </si>
  <si>
    <t xml:space="preserve">Venta cruzada dentro de extras</t>
  </si>
  <si>
    <t xml:space="preserve">https://saloninolvidable.com/</t>
  </si>
  <si>
    <t xml:space="preserve">Producciones DJ's B&amp;B</t>
  </si>
  <si>
    <t xml:space="preserve">Audio, iluminación, animación, pantallas y paquetes</t>
  </si>
  <si>
    <t xml:space="preserve">Canal de referidos con alto contacto a eventos</t>
  </si>
  <si>
    <t xml:space="preserve">https://www.djsbbleon.com/</t>
  </si>
  <si>
    <t xml:space="preserve">Casino Club de Leones</t>
  </si>
  <si>
    <t xml:space="preserve">Bodas, XV, comuniones, aniversarios y corporativos</t>
  </si>
  <si>
    <t xml:space="preserve">Más de 40 años; diversos salones y paquetes</t>
  </si>
  <si>
    <t xml:space="preserve">Volumen y catálogo multievento</t>
  </si>
  <si>
    <t xml:space="preserve">https://www.casinoclubdelosleones.com/</t>
  </si>
  <si>
    <t xml:space="preserve">Salón Maya</t>
  </si>
  <si>
    <t xml:space="preserve">Bodas, XV, conferencias y empresariales</t>
  </si>
  <si>
    <t xml:space="preserve">Banquete, sonido, iluminación y capacidad hasta 800</t>
  </si>
  <si>
    <t xml:space="preserve">No visible en la ficha pública revisada</t>
  </si>
  <si>
    <t xml:space="preserve">Capacidad alta y servicios integrales</t>
  </si>
  <si>
    <t xml:space="preserve">https://salonmaya.com.mx/</t>
  </si>
  <si>
    <t xml:space="preserve">Terraza La Cattaleya</t>
  </si>
  <si>
    <t xml:space="preserve">Terraza / banquetes</t>
  </si>
  <si>
    <t xml:space="preserve">Bodas, XV, bautizos, graduaciones y ejecutivos</t>
  </si>
  <si>
    <t xml:space="preserve">Venue y banquetes</t>
  </si>
  <si>
    <t xml:space="preserve">Multievento y paquetes de banquete</t>
  </si>
  <si>
    <t xml:space="preserve">https://www.terrazalacattaleya.com.mx/</t>
  </si>
  <si>
    <t xml:space="preserve">Salón Jardín Eventos</t>
  </si>
  <si>
    <t xml:space="preserve">Bodas, XV, cumpleaños, baby showers y empresariales</t>
  </si>
  <si>
    <t xml:space="preserve">22 años; paquetes y opciones adicionales</t>
  </si>
  <si>
    <t xml:space="preserve">Cliente ideal por volumen y addons</t>
  </si>
  <si>
    <t xml:space="preserve">https://www.salonjardineventos.com/</t>
  </si>
  <si>
    <t xml:space="preserve">Samara Rolón Wedding</t>
  </si>
  <si>
    <t xml:space="preserve">Guadalajara / Zapopan</t>
  </si>
  <si>
    <t xml:space="preserve">Bodas, XV, baby shower, corporativos y sociales</t>
  </si>
  <si>
    <t xml:space="preserve">Organización, banquete, decoración, flores y candy bar</t>
  </si>
  <si>
    <t xml:space="preserve">Oferta integral y múltiples eventos</t>
  </si>
  <si>
    <t xml:space="preserve">https://www.samararolon.com/servicios</t>
  </si>
  <si>
    <t xml:space="preserve">Salón Blanco y Negro</t>
  </si>
  <si>
    <t xml:space="preserve">Bodas, XV, cumpleaños, graduaciones y corporativos</t>
  </si>
  <si>
    <t xml:space="preserve">Paquetes 2026 y coordinación integral</t>
  </si>
  <si>
    <t xml:space="preserve">Paquetes actuales, ticket por persona y coordinación</t>
  </si>
  <si>
    <t xml:space="preserve">https://salonblancoynegro.mx/</t>
  </si>
  <si>
    <t xml:space="preserve">Yacarta Eventos</t>
  </si>
  <si>
    <t xml:space="preserve">Bodas, XV, corporativos y fiestas</t>
  </si>
  <si>
    <t xml:space="preserve">Venue moderno, personalización y disponibilidad pública</t>
  </si>
  <si>
    <t xml:space="preserve">Puede incluir invitación desde la reserva</t>
  </si>
  <si>
    <t xml:space="preserve">https://eventosyacarta.com.mx/</t>
  </si>
  <si>
    <t xml:space="preserve">Eventos Jubileo</t>
  </si>
  <si>
    <t xml:space="preserve">Bodas, XV, aniversarios, empresas y conferencias</t>
  </si>
  <si>
    <t xml:space="preserve">Paquetes con montaje, meseros, alimentos y flores</t>
  </si>
  <si>
    <t xml:space="preserve">Paquete integral y dos capacidades de salón</t>
  </si>
  <si>
    <t xml:space="preserve">https://eventosjubileo.com/</t>
  </si>
  <si>
    <t xml:space="preserve">Salón Coral</t>
  </si>
  <si>
    <t xml:space="preserve">Paquetes por tipo de evento</t>
  </si>
  <si>
    <t xml:space="preserve">Bundle directo por tipo de celebración</t>
  </si>
  <si>
    <t xml:space="preserve">https://coraleventos.com.mx/</t>
  </si>
  <si>
    <t xml:space="preserve">Jardín La Palapa</t>
  </si>
  <si>
    <t xml:space="preserve">Venue / banquetes</t>
  </si>
  <si>
    <t xml:space="preserve">Bodas, XV, graduaciones y eventos LGBT+</t>
  </si>
  <si>
    <t xml:space="preserve">Más de 30 años; jardín, banquetes, montajes y paquetes</t>
  </si>
  <si>
    <t xml:space="preserve">Trayectoria, paquetes y varios eventos</t>
  </si>
  <si>
    <t xml:space="preserve">https://jardinlapalapa.com/</t>
  </si>
  <si>
    <t xml:space="preserve">Salón Faraón</t>
  </si>
  <si>
    <t xml:space="preserve">Bodas, XV, bautizos, comuniones y corporativos</t>
  </si>
  <si>
    <t xml:space="preserve">Servicio integral para eventos sociales y empresariales</t>
  </si>
  <si>
    <t xml:space="preserve">Servicio integral con venta recurrente</t>
  </si>
  <si>
    <t xml:space="preserve">https://www.salonfaraon.com/</t>
  </si>
  <si>
    <t xml:space="preserve">Propuesta inicial de paquetes B2B · hipótesis para validar</t>
  </si>
  <si>
    <t xml:space="preserve">Paquete</t>
  </si>
  <si>
    <t xml:space="preserve">Créditos Premium</t>
  </si>
  <si>
    <t xml:space="preserve">Precio paquete</t>
  </si>
  <si>
    <t xml:space="preserve">Costo por evento</t>
  </si>
  <si>
    <t xml:space="preserve">Reventa sugerida</t>
  </si>
  <si>
    <t xml:space="preserve">Margen empresa por evento</t>
  </si>
  <si>
    <t xml:space="preserve">Ingreso Invita Ya</t>
  </si>
  <si>
    <t xml:space="preserve">Vigencia</t>
  </si>
  <si>
    <t xml:space="preserve">Ideal para</t>
  </si>
  <si>
    <t xml:space="preserve">Piloto</t>
  </si>
  <si>
    <t xml:space="preserve">90 días</t>
  </si>
  <si>
    <t xml:space="preserve">Primer cierre y prueba operativa</t>
  </si>
  <si>
    <t xml:space="preserve">Agencia</t>
  </si>
  <si>
    <t xml:space="preserve">6 meses</t>
  </si>
  <si>
    <t xml:space="preserve">Wedding planners y salones medianos</t>
  </si>
  <si>
    <t xml:space="preserve">Pro</t>
  </si>
  <si>
    <t xml:space="preserve">12 meses</t>
  </si>
  <si>
    <t xml:space="preserve">Salones con paquetes y alto volumen</t>
  </si>
  <si>
    <t xml:space="preserve">Referidos</t>
  </si>
  <si>
    <t xml:space="preserve">Sin vigencia</t>
  </si>
  <si>
    <t xml:space="preserve">Foto, DJ, barras y proveedores sin control del evento</t>
  </si>
  <si>
    <t xml:space="preserve">Qué incluye cada crédito Premium</t>
  </si>
  <si>
    <t xml:space="preserve">Diseño personalizado</t>
  </si>
  <si>
    <t xml:space="preserve">RSVP por WhatsApp</t>
  </si>
  <si>
    <t xml:space="preserve">Galería</t>
  </si>
  <si>
    <t xml:space="preserve">Música</t>
  </si>
  <si>
    <t xml:space="preserve">Mapa</t>
  </si>
  <si>
    <t xml:space="preserve">Cuenta regresiva</t>
  </si>
  <si>
    <t xml:space="preserve">Dress code / mesa de regalos</t>
  </si>
  <si>
    <t xml:space="preserve">2 ajustes</t>
  </si>
  <si>
    <t xml:space="preserve">Link permanente</t>
  </si>
  <si>
    <t xml:space="preserve">Opcional white-label</t>
  </si>
  <si>
    <t xml:space="preserve">+ $149 por evento</t>
  </si>
  <si>
    <t xml:space="preserve">Logo del aliado</t>
  </si>
  <si>
    <t xml:space="preserve">Dominio de Invita Ya</t>
  </si>
  <si>
    <t xml:space="preserve">Entrega &lt;48 h</t>
  </si>
  <si>
    <t xml:space="preserve">Soporte WhatsApp</t>
  </si>
  <si>
    <t xml:space="preserve">Regla comercial</t>
  </si>
  <si>
    <t xml:space="preserve">El aliado fija su precio final</t>
  </si>
  <si>
    <t xml:space="preserve">Créditos prepagados</t>
  </si>
  <si>
    <t xml:space="preserve">No reembolsables</t>
  </si>
  <si>
    <t xml:space="preserve">No acumulables tras vigencia</t>
  </si>
  <si>
    <t xml:space="preserve">1 evento = 1 crédito</t>
  </si>
  <si>
    <t xml:space="preserve">Prueba recomendada</t>
  </si>
  <si>
    <t xml:space="preserve">No lanzar 3 planes al inicio</t>
  </si>
  <si>
    <t xml:space="preserve">Vender primero el Piloto</t>
  </si>
  <si>
    <t xml:space="preserve">Revisar uso y margen</t>
  </si>
  <si>
    <t xml:space="preserve">Ajustar precio después de 10 clientes</t>
  </si>
  <si>
    <t xml:space="preserve">Ubicación</t>
  </si>
  <si>
    <t xml:space="preserve">Evidencia</t>
  </si>
  <si>
    <t xml:space="preserve">Tratamiento</t>
  </si>
  <si>
    <t xml:space="preserve">ibride Wedding Studio</t>
  </si>
  <si>
    <t xml:space="preserve">Ofrece “Invitación digital (Portal web)” desde $4,500 y confirmación por formulario.</t>
  </si>
  <si>
    <t xml:space="preserve">Competidor directo / referencia de precio alto</t>
  </si>
  <si>
    <t xml:space="preserve">https://www.ibride.mx/</t>
  </si>
  <si>
    <t xml:space="preserve">Maison Meza</t>
  </si>
  <si>
    <t xml:space="preserve">Baja California / Jalisco</t>
  </si>
  <si>
    <t xml:space="preserve">Publica invitación digital completa, programa digital y RSVP management.</t>
  </si>
  <si>
    <t xml:space="preserve">Competidor o posible socio de producción, no prospecto frío prioritario</t>
  </si>
  <si>
    <t xml:space="preserve">https://www.maisonmeza.com/</t>
  </si>
  <si>
    <t xml:space="preserve">Banquetes Real</t>
  </si>
  <si>
    <t xml:space="preserve">Mérida, Yucatán</t>
  </si>
  <si>
    <t xml:space="preserve">Menciona “invitaciones” dentro de sus servicios, sin aclarar si son digitales.</t>
  </si>
  <si>
    <t xml:space="preserve">Requiere llamada de calificación antes de prospectar</t>
  </si>
  <si>
    <t xml:space="preserve">https://banquetesreal.com.mx/</t>
  </si>
  <si>
    <t xml:space="preserve">Metodología, alcance y cautelas</t>
  </si>
  <si>
    <t xml:space="preserve">Alcance</t>
  </si>
  <si>
    <t xml:space="preserve">Barrido inicial de prospectos públicos en las principales plazas de bodas y eventos de México; no pretende ser un censo exhaustivo de todas las empresas del país.</t>
  </si>
  <si>
    <t xml:space="preserve">Criterio de inclusión</t>
  </si>
  <si>
    <t xml:space="preserve">Empresa activa con sitio público, oferta relacionada con bodas/XV/eventos y posibilidad razonable de integrar o recomendar invitaciones digitales.</t>
  </si>
  <si>
    <t xml:space="preserve">Verificación</t>
  </si>
  <si>
    <t xml:space="preserve">Se revisó el texto público del sitio indicado y se buscó la raíz “invit”. “No visible” significa que no apareció en la página revisada; no demuestra que la empresa nunca lo venda fuera de línea.</t>
  </si>
  <si>
    <t xml:space="preserve">A favorece salones y agencias con paquetes, varios tipos de evento, volumen declarado o control integral. B incluye especialistas, proveedores y boutiques con menor control del paquete.</t>
  </si>
  <si>
    <t xml:space="preserve">Heurística comercial de 0 a 100 basada en recurrencia probable, amplitud de eventos, control del paquete, evidencia de volumen y facilidad de venta cruzada.</t>
  </si>
  <si>
    <t xml:space="preserve">Uso correcto</t>
  </si>
  <si>
    <t xml:space="preserve">Validar por llamada o WhatsApp antes de afirmar que no ofrecen invitación digital. Actualizar Estatus, Próxima acción, Responsable y Notas en la hoja Prospectos.</t>
  </si>
  <si>
    <t xml:space="preserve">Fuente del producto</t>
  </si>
  <si>
    <t xml:space="preserve">Código local de Invita Ya: precios actuales Esencial $299, Premium $499 y Exclusivo $799 MXN.</t>
  </si>
  <si>
    <t xml:space="preserve">Producto base B2B</t>
  </si>
  <si>
    <t xml:space="preserve">Se propone usar Premium como crédito estándar porque concentra diseño personalizado, RSVP, galería, música, mesa de regalos/dress code y ajustes.</t>
  </si>
  <si>
    <t xml:space="preserve">Caveat de precios</t>
  </si>
  <si>
    <t xml:space="preserve">Los paquetes son una hipótesis comercial. No incluyen cálculo validado de horas de diseño, hosting, adquisición, impuestos ni soporte; deben probarse con 5–10 aliados.</t>
  </si>
  <si>
    <t xml:space="preserve">Fecha de investigación</t>
  </si>
  <si>
    <t xml:space="preserve">Región horaria</t>
  </si>
  <si>
    <t xml:space="preserve">America/Mexico_City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</si>
</sst>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\$#,##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2"/>
      <color rgb="FFFFFFFF"/>
      <name val="Aptos Display"/>
      <family val="0"/>
      <charset val="1"/>
    </font>
    <font>
      <sz val="10"/>
      <color rgb="FF24313D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24313D"/>
      <name val="Aptos"/>
      <family val="0"/>
      <charset val="1"/>
    </font>
    <font>
      <b val="true"/>
      <sz val="20"/>
      <color rgb="FFFFFFFF"/>
      <name val="Aptos Display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24D"/>
        <bgColor rgb="FF24313D"/>
      </patternFill>
    </fill>
    <fill>
      <patternFill patternType="solid">
        <fgColor rgb="FFFFFFFF"/>
        <bgColor rgb="FFFFF7F0"/>
      </patternFill>
    </fill>
    <fill>
      <patternFill patternType="solid">
        <fgColor rgb="FFD95D67"/>
        <bgColor rgb="FFFF6600"/>
      </patternFill>
    </fill>
    <fill>
      <patternFill patternType="solid">
        <fgColor rgb="FFDFF3E4"/>
        <bgColor rgb="FFEAF2F8"/>
      </patternFill>
    </fill>
    <fill>
      <patternFill patternType="solid">
        <fgColor rgb="FFEAF2F8"/>
        <bgColor rgb="FFDFF3E4"/>
      </patternFill>
    </fill>
    <fill>
      <patternFill patternType="solid">
        <fgColor rgb="FFFFF7F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313D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214E34"/>
          <bgColor rgb="FF000000"/>
        </patternFill>
      </fill>
    </dxf>
    <dxf>
      <fill>
        <patternFill patternType="solid">
          <fgColor rgb="FF725000"/>
          <bgColor rgb="FF000000"/>
        </patternFill>
      </fill>
    </dxf>
    <dxf>
      <font>
        <b val="1"/>
        <color rgb="FF214E34"/>
      </font>
      <fill>
        <patternFill>
          <bgColor rgb="FFDFF3E4"/>
        </patternFill>
      </fill>
    </dxf>
    <dxf>
      <font>
        <b val="1"/>
        <color rgb="FF725000"/>
      </font>
      <fill>
        <patternFill>
          <bgColor rgb="FFFFF1CC"/>
        </patternFill>
      </fill>
    </dxf>
    <dxf>
      <font>
        <b val="1"/>
        <color rgb="FF214E34"/>
      </font>
      <fill>
        <patternFill>
          <bgColor rgb="FFDFF3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C"/>
      <rgbColor rgb="FFEAF2F8"/>
      <rgbColor rgb="FF660066"/>
      <rgbColor rgb="FFD95D6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7F0"/>
      <rgbColor rgb="FFDFF3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214E34"/>
      <rgbColor rgb="FF725000"/>
      <rgbColor rgb="FF993366"/>
      <rgbColor rgb="FF333399"/>
      <rgbColor rgb="FF243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etidoresRevisar" displayName="CompetidoresRevisar" ref="A1:E4" headerRowCount="1" totalsRowCount="0" totalsRowShown="0">
  <tableColumns count="5">
    <tableColumn id="1" name="Empresa"/>
    <tableColumn id="2" name="Ubicación"/>
    <tableColumn id="3" name="Evidencia"/>
    <tableColumn id="4" name="Tratamiento"/>
    <tableColumn id="5" name="Sitio oficial"/>
  </tableColumns>
</table>
</file>

<file path=xl/tables/table2.xml><?xml version="1.0" encoding="utf-8"?>
<table xmlns="http://schemas.openxmlformats.org/spreadsheetml/2006/main" id="2" name="ProspectosInvitaYa" displayName="ProspectosInvitaYa" ref="A1:Q57" headerRowCount="1" totalsRowCount="0" totalsRowShown="0">
  <tableColumns count="17">
    <tableColumn id="1" name="Empresa"/>
    <tableColumn id="2" name="Tipo"/>
    <tableColumn id="3" name="Ciudad / zona"/>
    <tableColumn id="4" name="Estado(s)"/>
    <tableColumn id="5" name="Eventos atendidos"/>
    <tableColumn id="6" name="Oferta pública resumida"/>
    <tableColumn id="7" name="Revisión invitación digital"/>
    <tableColumn id="8" name="Fecha revisión"/>
    <tableColumn id="9" name="Puntaje"/>
    <tableColumn id="10" name="Prioridad"/>
    <tableColumn id="11" name="Razón de encaje"/>
    <tableColumn id="12" name="Oferta sugerida"/>
    <tableColumn id="13" name="Sitio oficial"/>
    <tableColumn id="14" name="Estatus"/>
    <tableColumn id="15" name="Próxima acción"/>
    <tableColumn id="16" name="Responsable"/>
    <tableColumn id="17" name="Nota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6" min="5" style="0" width="34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4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4" hidden="false" customHeight="true" outlineLevel="0" collapsed="false">
      <c r="A4" s="3" t="s">
        <v>1</v>
      </c>
      <c r="B4" s="3" t="s">
        <v>2</v>
      </c>
      <c r="C4" s="2"/>
      <c r="D4" s="3" t="s">
        <v>3</v>
      </c>
      <c r="E4" s="3" t="s">
        <v>4</v>
      </c>
      <c r="F4" s="3" t="s">
        <v>5</v>
      </c>
      <c r="G4" s="2"/>
      <c r="H4" s="2"/>
    </row>
    <row r="5" customFormat="false" ht="24" hidden="false" customHeight="true" outlineLevel="0" collapsed="false">
      <c r="A5" s="4" t="s">
        <v>6</v>
      </c>
      <c r="B5" s="5" t="n">
        <f aca="false">COUNTA(Prospectos!$A$2:$A$57)</f>
        <v>56</v>
      </c>
      <c r="C5" s="2"/>
      <c r="D5" s="6" t="s">
        <v>7</v>
      </c>
      <c r="E5" s="6" t="s">
        <v>8</v>
      </c>
      <c r="F5" s="6" t="s">
        <v>9</v>
      </c>
      <c r="G5" s="2"/>
      <c r="H5" s="2"/>
    </row>
    <row r="6" customFormat="false" ht="24" hidden="false" customHeight="true" outlineLevel="0" collapsed="false">
      <c r="A6" s="4" t="s">
        <v>10</v>
      </c>
      <c r="B6" s="5" t="n">
        <f aca="false">COUNTIF(Prospectos!$J$2:$J$57,"A")</f>
        <v>37</v>
      </c>
      <c r="C6" s="2"/>
      <c r="D6" s="6" t="s">
        <v>11</v>
      </c>
      <c r="E6" s="6" t="s">
        <v>12</v>
      </c>
      <c r="F6" s="6" t="s">
        <v>13</v>
      </c>
      <c r="G6" s="2"/>
      <c r="H6" s="2"/>
    </row>
    <row r="7" customFormat="false" ht="24" hidden="false" customHeight="true" outlineLevel="0" collapsed="false">
      <c r="A7" s="4" t="s">
        <v>14</v>
      </c>
      <c r="B7" s="5" t="n">
        <f aca="false">COUNTIF(Prospectos!$J$2:$J$57,"B")</f>
        <v>19</v>
      </c>
      <c r="C7" s="2"/>
      <c r="D7" s="6" t="s">
        <v>15</v>
      </c>
      <c r="E7" s="6" t="s">
        <v>16</v>
      </c>
      <c r="F7" s="6" t="s">
        <v>17</v>
      </c>
      <c r="G7" s="2"/>
      <c r="H7" s="2"/>
    </row>
    <row r="8" customFormat="false" ht="24" hidden="false" customHeight="true" outlineLevel="0" collapsed="false">
      <c r="A8" s="4" t="s">
        <v>18</v>
      </c>
      <c r="B8" s="5" t="n">
        <f aca="false">COUNTA(unique(Prospectos!$D$2:$D$57))</f>
        <v>17</v>
      </c>
      <c r="C8" s="2"/>
      <c r="D8" s="2"/>
      <c r="E8" s="2"/>
      <c r="F8" s="2"/>
      <c r="G8" s="2"/>
      <c r="H8" s="2"/>
    </row>
    <row r="9" customFormat="false" ht="24" hidden="false" customHeight="true" outlineLevel="0" collapsed="false">
      <c r="A9" s="4" t="s">
        <v>19</v>
      </c>
      <c r="B9" s="5" t="n">
        <f aca="false">COUNTIF(Prospectos!$G$2:$G$57,"*Sí*")</f>
        <v>0</v>
      </c>
      <c r="C9" s="2"/>
      <c r="D9" s="2"/>
      <c r="E9" s="2"/>
      <c r="F9" s="2"/>
      <c r="G9" s="2"/>
      <c r="H9" s="2"/>
    </row>
    <row r="10" customFormat="false" ht="24" hidden="false" customHeight="true" outlineLevel="0" collapsed="false">
      <c r="A10" s="4" t="s">
        <v>20</v>
      </c>
      <c r="B10" s="2" t="s">
        <v>21</v>
      </c>
      <c r="C10" s="2"/>
      <c r="D10" s="2"/>
      <c r="E10" s="2"/>
      <c r="F10" s="2"/>
      <c r="G10" s="2"/>
      <c r="H10" s="2"/>
    </row>
    <row r="11" customFormat="false" ht="24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4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4" hidden="false" customHeight="true" outlineLevel="0" collapsed="false">
      <c r="A13" s="7" t="s">
        <v>22</v>
      </c>
      <c r="B13" s="7"/>
      <c r="C13" s="7"/>
      <c r="D13" s="7"/>
      <c r="E13" s="7"/>
      <c r="F13" s="7"/>
      <c r="G13" s="7"/>
      <c r="H13" s="7"/>
    </row>
    <row r="14" customFormat="false" ht="24" hidden="false" customHeight="true" outlineLevel="0" collapsed="false"/>
  </sheetData>
  <mergeCells count="2">
    <mergeCell ref="A1:H2"/>
    <mergeCell ref="A13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fals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M2" activeCellId="0" sqref="M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34"/>
    <col collapsed="false" customWidth="true" hidden="false" outlineLevel="0" max="12" min="12" style="0" width="20"/>
    <col collapsed="false" customWidth="true" hidden="false" outlineLevel="0" max="13" min="13" style="0" width="42"/>
    <col collapsed="false" customWidth="true" hidden="false" outlineLevel="0" max="14" min="14" style="0" width="18"/>
    <col collapsed="false" customWidth="true" hidden="false" outlineLevel="0" max="15" min="15" style="0" width="28"/>
    <col collapsed="false" customWidth="true" hidden="false" outlineLevel="0" max="16" min="16" style="0" width="18"/>
    <col collapsed="false" customWidth="true" hidden="false" outlineLevel="0" max="17" min="17" style="0" width="32"/>
  </cols>
  <sheetData>
    <row r="1" customFormat="false" ht="30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</row>
    <row r="2" customFormat="false" ht="23.85" hidden="false" customHeight="fals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21</v>
      </c>
      <c r="I2" s="9" t="n">
        <v>92</v>
      </c>
      <c r="J2" s="6" t="s">
        <v>7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/>
      <c r="Q2" s="6"/>
    </row>
    <row r="3" customFormat="false" ht="35.05" hidden="false" customHeight="false" outlineLevel="0" collapsed="false">
      <c r="A3" s="6" t="s">
        <v>52</v>
      </c>
      <c r="B3" s="6" t="s">
        <v>53</v>
      </c>
      <c r="C3" s="6" t="s">
        <v>54</v>
      </c>
      <c r="D3" s="6" t="s">
        <v>54</v>
      </c>
      <c r="E3" s="6" t="s">
        <v>55</v>
      </c>
      <c r="F3" s="6" t="s">
        <v>56</v>
      </c>
      <c r="G3" s="6" t="s">
        <v>46</v>
      </c>
      <c r="H3" s="6" t="s">
        <v>21</v>
      </c>
      <c r="I3" s="9" t="n">
        <v>98</v>
      </c>
      <c r="J3" s="6" t="s">
        <v>7</v>
      </c>
      <c r="K3" s="6" t="s">
        <v>57</v>
      </c>
      <c r="L3" s="6" t="s">
        <v>58</v>
      </c>
      <c r="M3" s="6" t="s">
        <v>59</v>
      </c>
      <c r="N3" s="6" t="s">
        <v>50</v>
      </c>
      <c r="O3" s="6" t="s">
        <v>51</v>
      </c>
      <c r="P3" s="6"/>
      <c r="Q3" s="6"/>
    </row>
    <row r="4" customFormat="false" ht="23.85" hidden="false" customHeight="false" outlineLevel="0" collapsed="false">
      <c r="A4" s="6" t="s">
        <v>60</v>
      </c>
      <c r="B4" s="6" t="s">
        <v>41</v>
      </c>
      <c r="C4" s="6" t="s">
        <v>61</v>
      </c>
      <c r="D4" s="6" t="s">
        <v>62</v>
      </c>
      <c r="E4" s="6" t="s">
        <v>63</v>
      </c>
      <c r="F4" s="6" t="s">
        <v>64</v>
      </c>
      <c r="G4" s="6" t="s">
        <v>46</v>
      </c>
      <c r="H4" s="6" t="s">
        <v>21</v>
      </c>
      <c r="I4" s="9" t="n">
        <v>82</v>
      </c>
      <c r="J4" s="6" t="s">
        <v>11</v>
      </c>
      <c r="K4" s="6" t="s">
        <v>65</v>
      </c>
      <c r="L4" s="6" t="s">
        <v>48</v>
      </c>
      <c r="M4" s="6" t="s">
        <v>66</v>
      </c>
      <c r="N4" s="6" t="s">
        <v>50</v>
      </c>
      <c r="O4" s="6" t="s">
        <v>51</v>
      </c>
      <c r="P4" s="6"/>
      <c r="Q4" s="6"/>
    </row>
    <row r="5" customFormat="false" ht="23.85" hidden="false" customHeight="false" outlineLevel="0" collapsed="false">
      <c r="A5" s="6" t="s">
        <v>67</v>
      </c>
      <c r="B5" s="6" t="s">
        <v>68</v>
      </c>
      <c r="C5" s="6" t="s">
        <v>69</v>
      </c>
      <c r="D5" s="6" t="s">
        <v>70</v>
      </c>
      <c r="E5" s="6" t="s">
        <v>71</v>
      </c>
      <c r="F5" s="6" t="s">
        <v>72</v>
      </c>
      <c r="G5" s="6" t="s">
        <v>46</v>
      </c>
      <c r="H5" s="6" t="s">
        <v>21</v>
      </c>
      <c r="I5" s="9" t="n">
        <v>86</v>
      </c>
      <c r="J5" s="6" t="s">
        <v>11</v>
      </c>
      <c r="K5" s="6" t="s">
        <v>73</v>
      </c>
      <c r="L5" s="6" t="s">
        <v>48</v>
      </c>
      <c r="M5" s="6" t="s">
        <v>74</v>
      </c>
      <c r="N5" s="6" t="s">
        <v>50</v>
      </c>
      <c r="O5" s="6" t="s">
        <v>51</v>
      </c>
      <c r="P5" s="6"/>
      <c r="Q5" s="6"/>
    </row>
    <row r="6" customFormat="false" ht="23.85" hidden="false" customHeight="false" outlineLevel="0" collapsed="false">
      <c r="A6" s="6" t="s">
        <v>75</v>
      </c>
      <c r="B6" s="6" t="s">
        <v>76</v>
      </c>
      <c r="C6" s="6" t="s">
        <v>77</v>
      </c>
      <c r="D6" s="6" t="s">
        <v>78</v>
      </c>
      <c r="E6" s="6" t="s">
        <v>79</v>
      </c>
      <c r="F6" s="6" t="s">
        <v>80</v>
      </c>
      <c r="G6" s="6" t="s">
        <v>81</v>
      </c>
      <c r="H6" s="6" t="s">
        <v>21</v>
      </c>
      <c r="I6" s="9" t="n">
        <v>94</v>
      </c>
      <c r="J6" s="6" t="s">
        <v>7</v>
      </c>
      <c r="K6" s="6" t="s">
        <v>82</v>
      </c>
      <c r="L6" s="6" t="s">
        <v>58</v>
      </c>
      <c r="M6" s="6" t="s">
        <v>83</v>
      </c>
      <c r="N6" s="6" t="s">
        <v>50</v>
      </c>
      <c r="O6" s="6" t="s">
        <v>51</v>
      </c>
      <c r="P6" s="6"/>
      <c r="Q6" s="6"/>
    </row>
    <row r="7" customFormat="false" ht="23.85" hidden="false" customHeight="false" outlineLevel="0" collapsed="false">
      <c r="A7" s="6" t="s">
        <v>84</v>
      </c>
      <c r="B7" s="6" t="s">
        <v>85</v>
      </c>
      <c r="C7" s="6" t="s">
        <v>61</v>
      </c>
      <c r="D7" s="6" t="s">
        <v>62</v>
      </c>
      <c r="E7" s="6" t="s">
        <v>86</v>
      </c>
      <c r="F7" s="6" t="s">
        <v>87</v>
      </c>
      <c r="G7" s="6" t="s">
        <v>46</v>
      </c>
      <c r="H7" s="6" t="s">
        <v>21</v>
      </c>
      <c r="I7" s="9" t="n">
        <v>85</v>
      </c>
      <c r="J7" s="6" t="s">
        <v>11</v>
      </c>
      <c r="K7" s="6" t="s">
        <v>88</v>
      </c>
      <c r="L7" s="6" t="s">
        <v>48</v>
      </c>
      <c r="M7" s="6" t="s">
        <v>89</v>
      </c>
      <c r="N7" s="6" t="s">
        <v>50</v>
      </c>
      <c r="O7" s="6" t="s">
        <v>51</v>
      </c>
      <c r="P7" s="6"/>
      <c r="Q7" s="6"/>
    </row>
    <row r="8" customFormat="false" ht="23.85" hidden="false" customHeight="false" outlineLevel="0" collapsed="false">
      <c r="A8" s="6" t="s">
        <v>90</v>
      </c>
      <c r="B8" s="6" t="s">
        <v>91</v>
      </c>
      <c r="C8" s="6" t="s">
        <v>54</v>
      </c>
      <c r="D8" s="6" t="s">
        <v>54</v>
      </c>
      <c r="E8" s="6" t="s">
        <v>92</v>
      </c>
      <c r="F8" s="6" t="s">
        <v>93</v>
      </c>
      <c r="G8" s="6" t="s">
        <v>46</v>
      </c>
      <c r="H8" s="6" t="s">
        <v>21</v>
      </c>
      <c r="I8" s="9" t="n">
        <v>91</v>
      </c>
      <c r="J8" s="6" t="s">
        <v>7</v>
      </c>
      <c r="K8" s="6" t="s">
        <v>94</v>
      </c>
      <c r="L8" s="6" t="s">
        <v>58</v>
      </c>
      <c r="M8" s="6" t="s">
        <v>95</v>
      </c>
      <c r="N8" s="6" t="s">
        <v>50</v>
      </c>
      <c r="O8" s="6" t="s">
        <v>51</v>
      </c>
      <c r="P8" s="6"/>
      <c r="Q8" s="6"/>
    </row>
    <row r="9" customFormat="false" ht="23.85" hidden="false" customHeight="false" outlineLevel="0" collapsed="false">
      <c r="A9" s="6" t="s">
        <v>96</v>
      </c>
      <c r="B9" s="6" t="s">
        <v>41</v>
      </c>
      <c r="C9" s="6" t="s">
        <v>61</v>
      </c>
      <c r="D9" s="6" t="s">
        <v>62</v>
      </c>
      <c r="E9" s="6" t="s">
        <v>97</v>
      </c>
      <c r="F9" s="6" t="s">
        <v>98</v>
      </c>
      <c r="G9" s="6" t="s">
        <v>46</v>
      </c>
      <c r="H9" s="6" t="s">
        <v>21</v>
      </c>
      <c r="I9" s="9" t="n">
        <v>93</v>
      </c>
      <c r="J9" s="6" t="s">
        <v>7</v>
      </c>
      <c r="K9" s="6" t="s">
        <v>99</v>
      </c>
      <c r="L9" s="6" t="s">
        <v>58</v>
      </c>
      <c r="M9" s="6" t="s">
        <v>100</v>
      </c>
      <c r="N9" s="6" t="s">
        <v>50</v>
      </c>
      <c r="O9" s="6" t="s">
        <v>51</v>
      </c>
      <c r="P9" s="6"/>
      <c r="Q9" s="6"/>
    </row>
    <row r="10" customFormat="false" ht="23.85" hidden="false" customHeight="false" outlineLevel="0" collapsed="false">
      <c r="A10" s="6" t="s">
        <v>101</v>
      </c>
      <c r="B10" s="6" t="s">
        <v>41</v>
      </c>
      <c r="C10" s="6" t="s">
        <v>61</v>
      </c>
      <c r="D10" s="6" t="s">
        <v>62</v>
      </c>
      <c r="E10" s="6" t="s">
        <v>102</v>
      </c>
      <c r="F10" s="6" t="s">
        <v>103</v>
      </c>
      <c r="G10" s="6" t="s">
        <v>46</v>
      </c>
      <c r="H10" s="6" t="s">
        <v>21</v>
      </c>
      <c r="I10" s="9" t="n">
        <v>76</v>
      </c>
      <c r="J10" s="6" t="s">
        <v>11</v>
      </c>
      <c r="K10" s="6" t="s">
        <v>104</v>
      </c>
      <c r="L10" s="6" t="s">
        <v>48</v>
      </c>
      <c r="M10" s="6" t="s">
        <v>105</v>
      </c>
      <c r="N10" s="6" t="s">
        <v>50</v>
      </c>
      <c r="O10" s="6" t="s">
        <v>51</v>
      </c>
      <c r="P10" s="6"/>
      <c r="Q10" s="6"/>
    </row>
    <row r="11" customFormat="false" ht="23.85" hidden="false" customHeight="false" outlineLevel="0" collapsed="false">
      <c r="A11" s="6" t="s">
        <v>106</v>
      </c>
      <c r="B11" s="6" t="s">
        <v>107</v>
      </c>
      <c r="C11" s="6" t="s">
        <v>54</v>
      </c>
      <c r="D11" s="6" t="s">
        <v>54</v>
      </c>
      <c r="E11" s="6" t="s">
        <v>108</v>
      </c>
      <c r="F11" s="6" t="s">
        <v>109</v>
      </c>
      <c r="G11" s="6" t="s">
        <v>46</v>
      </c>
      <c r="H11" s="6" t="s">
        <v>21</v>
      </c>
      <c r="I11" s="9" t="n">
        <v>89</v>
      </c>
      <c r="J11" s="6" t="s">
        <v>7</v>
      </c>
      <c r="K11" s="6" t="s">
        <v>110</v>
      </c>
      <c r="L11" s="6" t="s">
        <v>48</v>
      </c>
      <c r="M11" s="6" t="s">
        <v>111</v>
      </c>
      <c r="N11" s="6" t="s">
        <v>50</v>
      </c>
      <c r="O11" s="6" t="s">
        <v>51</v>
      </c>
      <c r="P11" s="6"/>
      <c r="Q11" s="6"/>
    </row>
    <row r="12" customFormat="false" ht="23.85" hidden="false" customHeight="false" outlineLevel="0" collapsed="false">
      <c r="A12" s="6" t="s">
        <v>112</v>
      </c>
      <c r="B12" s="6" t="s">
        <v>41</v>
      </c>
      <c r="C12" s="6" t="s">
        <v>69</v>
      </c>
      <c r="D12" s="6" t="s">
        <v>70</v>
      </c>
      <c r="E12" s="6" t="s">
        <v>113</v>
      </c>
      <c r="F12" s="6" t="s">
        <v>114</v>
      </c>
      <c r="G12" s="6" t="s">
        <v>46</v>
      </c>
      <c r="H12" s="6" t="s">
        <v>21</v>
      </c>
      <c r="I12" s="9" t="n">
        <v>85</v>
      </c>
      <c r="J12" s="6" t="s">
        <v>11</v>
      </c>
      <c r="K12" s="6" t="s">
        <v>115</v>
      </c>
      <c r="L12" s="6" t="s">
        <v>48</v>
      </c>
      <c r="M12" s="6" t="s">
        <v>116</v>
      </c>
      <c r="N12" s="6" t="s">
        <v>50</v>
      </c>
      <c r="O12" s="6" t="s">
        <v>51</v>
      </c>
      <c r="P12" s="6"/>
      <c r="Q12" s="6"/>
    </row>
    <row r="13" customFormat="false" ht="23.85" hidden="false" customHeight="false" outlineLevel="0" collapsed="false">
      <c r="A13" s="6" t="s">
        <v>117</v>
      </c>
      <c r="B13" s="6" t="s">
        <v>41</v>
      </c>
      <c r="C13" s="6" t="s">
        <v>118</v>
      </c>
      <c r="D13" s="6" t="s">
        <v>119</v>
      </c>
      <c r="E13" s="6" t="s">
        <v>120</v>
      </c>
      <c r="F13" s="6" t="s">
        <v>121</v>
      </c>
      <c r="G13" s="6" t="s">
        <v>46</v>
      </c>
      <c r="H13" s="6" t="s">
        <v>21</v>
      </c>
      <c r="I13" s="9" t="n">
        <v>91</v>
      </c>
      <c r="J13" s="6" t="s">
        <v>7</v>
      </c>
      <c r="K13" s="6" t="s">
        <v>122</v>
      </c>
      <c r="L13" s="6" t="s">
        <v>58</v>
      </c>
      <c r="M13" s="6" t="s">
        <v>123</v>
      </c>
      <c r="N13" s="6" t="s">
        <v>50</v>
      </c>
      <c r="O13" s="6" t="s">
        <v>51</v>
      </c>
      <c r="P13" s="6"/>
      <c r="Q13" s="6"/>
    </row>
    <row r="14" customFormat="false" ht="23.85" hidden="false" customHeight="false" outlineLevel="0" collapsed="false">
      <c r="A14" s="6" t="s">
        <v>124</v>
      </c>
      <c r="B14" s="6" t="s">
        <v>125</v>
      </c>
      <c r="C14" s="6" t="s">
        <v>118</v>
      </c>
      <c r="D14" s="6" t="s">
        <v>119</v>
      </c>
      <c r="E14" s="6" t="s">
        <v>126</v>
      </c>
      <c r="F14" s="6" t="s">
        <v>127</v>
      </c>
      <c r="G14" s="6" t="s">
        <v>46</v>
      </c>
      <c r="H14" s="6" t="s">
        <v>21</v>
      </c>
      <c r="I14" s="9" t="n">
        <v>94</v>
      </c>
      <c r="J14" s="6" t="s">
        <v>7</v>
      </c>
      <c r="K14" s="6" t="s">
        <v>128</v>
      </c>
      <c r="L14" s="6" t="s">
        <v>58</v>
      </c>
      <c r="M14" s="6" t="s">
        <v>129</v>
      </c>
      <c r="N14" s="6" t="s">
        <v>50</v>
      </c>
      <c r="O14" s="6" t="s">
        <v>51</v>
      </c>
      <c r="P14" s="6"/>
      <c r="Q14" s="6"/>
    </row>
    <row r="15" customFormat="false" ht="23.85" hidden="false" customHeight="false" outlineLevel="0" collapsed="false">
      <c r="A15" s="6" t="s">
        <v>130</v>
      </c>
      <c r="B15" s="6" t="s">
        <v>131</v>
      </c>
      <c r="C15" s="6" t="s">
        <v>132</v>
      </c>
      <c r="D15" s="6" t="s">
        <v>132</v>
      </c>
      <c r="E15" s="6" t="s">
        <v>133</v>
      </c>
      <c r="F15" s="6" t="s">
        <v>134</v>
      </c>
      <c r="G15" s="6" t="s">
        <v>46</v>
      </c>
      <c r="H15" s="6" t="s">
        <v>21</v>
      </c>
      <c r="I15" s="9" t="n">
        <v>95</v>
      </c>
      <c r="J15" s="6" t="s">
        <v>7</v>
      </c>
      <c r="K15" s="6" t="s">
        <v>135</v>
      </c>
      <c r="L15" s="6" t="s">
        <v>58</v>
      </c>
      <c r="M15" s="6" t="s">
        <v>136</v>
      </c>
      <c r="N15" s="6" t="s">
        <v>50</v>
      </c>
      <c r="O15" s="6" t="s">
        <v>51</v>
      </c>
      <c r="P15" s="6"/>
      <c r="Q15" s="6"/>
    </row>
    <row r="16" customFormat="false" ht="23.85" hidden="false" customHeight="false" outlineLevel="0" collapsed="false">
      <c r="A16" s="6" t="s">
        <v>137</v>
      </c>
      <c r="B16" s="6" t="s">
        <v>138</v>
      </c>
      <c r="C16" s="6" t="s">
        <v>118</v>
      </c>
      <c r="D16" s="6" t="s">
        <v>119</v>
      </c>
      <c r="E16" s="6" t="s">
        <v>139</v>
      </c>
      <c r="F16" s="6" t="s">
        <v>140</v>
      </c>
      <c r="G16" s="6" t="s">
        <v>81</v>
      </c>
      <c r="H16" s="6" t="s">
        <v>21</v>
      </c>
      <c r="I16" s="9" t="n">
        <v>88</v>
      </c>
      <c r="J16" s="6" t="s">
        <v>7</v>
      </c>
      <c r="K16" s="6" t="s">
        <v>141</v>
      </c>
      <c r="L16" s="6" t="s">
        <v>48</v>
      </c>
      <c r="M16" s="6" t="s">
        <v>142</v>
      </c>
      <c r="N16" s="6" t="s">
        <v>50</v>
      </c>
      <c r="O16" s="6" t="s">
        <v>51</v>
      </c>
      <c r="P16" s="6"/>
      <c r="Q16" s="6"/>
    </row>
    <row r="17" customFormat="false" ht="23.85" hidden="false" customHeight="false" outlineLevel="0" collapsed="false">
      <c r="A17" s="6" t="s">
        <v>143</v>
      </c>
      <c r="B17" s="6" t="s">
        <v>41</v>
      </c>
      <c r="C17" s="6" t="s">
        <v>118</v>
      </c>
      <c r="D17" s="6" t="s">
        <v>119</v>
      </c>
      <c r="E17" s="6" t="s">
        <v>144</v>
      </c>
      <c r="F17" s="6" t="s">
        <v>145</v>
      </c>
      <c r="G17" s="6" t="s">
        <v>46</v>
      </c>
      <c r="H17" s="6" t="s">
        <v>21</v>
      </c>
      <c r="I17" s="9" t="n">
        <v>86</v>
      </c>
      <c r="J17" s="6" t="s">
        <v>11</v>
      </c>
      <c r="K17" s="6" t="s">
        <v>146</v>
      </c>
      <c r="L17" s="6" t="s">
        <v>48</v>
      </c>
      <c r="M17" s="6" t="s">
        <v>147</v>
      </c>
      <c r="N17" s="6" t="s">
        <v>50</v>
      </c>
      <c r="O17" s="6" t="s">
        <v>51</v>
      </c>
      <c r="P17" s="6"/>
      <c r="Q17" s="6"/>
    </row>
    <row r="18" customFormat="false" ht="23.85" hidden="false" customHeight="false" outlineLevel="0" collapsed="false">
      <c r="A18" s="6" t="s">
        <v>148</v>
      </c>
      <c r="B18" s="6" t="s">
        <v>149</v>
      </c>
      <c r="C18" s="6" t="s">
        <v>150</v>
      </c>
      <c r="D18" s="6" t="s">
        <v>150</v>
      </c>
      <c r="E18" s="6" t="s">
        <v>151</v>
      </c>
      <c r="F18" s="6" t="s">
        <v>152</v>
      </c>
      <c r="G18" s="6" t="s">
        <v>46</v>
      </c>
      <c r="H18" s="6" t="s">
        <v>21</v>
      </c>
      <c r="I18" s="9" t="n">
        <v>80</v>
      </c>
      <c r="J18" s="6" t="s">
        <v>11</v>
      </c>
      <c r="K18" s="6" t="s">
        <v>153</v>
      </c>
      <c r="L18" s="6" t="s">
        <v>48</v>
      </c>
      <c r="M18" s="6" t="s">
        <v>154</v>
      </c>
      <c r="N18" s="6" t="s">
        <v>50</v>
      </c>
      <c r="O18" s="6" t="s">
        <v>51</v>
      </c>
      <c r="P18" s="6"/>
      <c r="Q18" s="6"/>
    </row>
    <row r="19" customFormat="false" ht="23.85" hidden="false" customHeight="false" outlineLevel="0" collapsed="false">
      <c r="A19" s="6" t="s">
        <v>155</v>
      </c>
      <c r="B19" s="6" t="s">
        <v>156</v>
      </c>
      <c r="C19" s="6" t="s">
        <v>132</v>
      </c>
      <c r="D19" s="6" t="s">
        <v>132</v>
      </c>
      <c r="E19" s="6" t="s">
        <v>157</v>
      </c>
      <c r="F19" s="6" t="s">
        <v>158</v>
      </c>
      <c r="G19" s="6" t="s">
        <v>81</v>
      </c>
      <c r="H19" s="6" t="s">
        <v>21</v>
      </c>
      <c r="I19" s="9" t="n">
        <v>84</v>
      </c>
      <c r="J19" s="6" t="s">
        <v>11</v>
      </c>
      <c r="K19" s="6" t="s">
        <v>159</v>
      </c>
      <c r="L19" s="6" t="s">
        <v>48</v>
      </c>
      <c r="M19" s="6" t="s">
        <v>160</v>
      </c>
      <c r="N19" s="6" t="s">
        <v>50</v>
      </c>
      <c r="O19" s="6" t="s">
        <v>51</v>
      </c>
      <c r="P19" s="6"/>
      <c r="Q19" s="6"/>
    </row>
    <row r="20" customFormat="false" ht="23.85" hidden="false" customHeight="false" outlineLevel="0" collapsed="false">
      <c r="A20" s="6" t="s">
        <v>161</v>
      </c>
      <c r="B20" s="6" t="s">
        <v>41</v>
      </c>
      <c r="C20" s="6" t="s">
        <v>162</v>
      </c>
      <c r="D20" s="6" t="s">
        <v>163</v>
      </c>
      <c r="E20" s="6" t="s">
        <v>164</v>
      </c>
      <c r="F20" s="6" t="s">
        <v>165</v>
      </c>
      <c r="G20" s="6" t="s">
        <v>46</v>
      </c>
      <c r="H20" s="6" t="s">
        <v>21</v>
      </c>
      <c r="I20" s="9" t="n">
        <v>89</v>
      </c>
      <c r="J20" s="6" t="s">
        <v>7</v>
      </c>
      <c r="K20" s="6" t="s">
        <v>166</v>
      </c>
      <c r="L20" s="6" t="s">
        <v>48</v>
      </c>
      <c r="M20" s="6" t="s">
        <v>167</v>
      </c>
      <c r="N20" s="6" t="s">
        <v>50</v>
      </c>
      <c r="O20" s="6" t="s">
        <v>51</v>
      </c>
      <c r="P20" s="6"/>
      <c r="Q20" s="6"/>
    </row>
    <row r="21" customFormat="false" ht="23.85" hidden="false" customHeight="false" outlineLevel="0" collapsed="false">
      <c r="A21" s="6" t="s">
        <v>168</v>
      </c>
      <c r="B21" s="6" t="s">
        <v>41</v>
      </c>
      <c r="C21" s="6" t="s">
        <v>162</v>
      </c>
      <c r="D21" s="6" t="s">
        <v>163</v>
      </c>
      <c r="E21" s="6" t="s">
        <v>139</v>
      </c>
      <c r="F21" s="6" t="s">
        <v>169</v>
      </c>
      <c r="G21" s="6" t="s">
        <v>46</v>
      </c>
      <c r="H21" s="6" t="s">
        <v>21</v>
      </c>
      <c r="I21" s="9" t="n">
        <v>87</v>
      </c>
      <c r="J21" s="6" t="s">
        <v>11</v>
      </c>
      <c r="K21" s="6" t="s">
        <v>170</v>
      </c>
      <c r="L21" s="6" t="s">
        <v>48</v>
      </c>
      <c r="M21" s="6" t="s">
        <v>171</v>
      </c>
      <c r="N21" s="6" t="s">
        <v>50</v>
      </c>
      <c r="O21" s="6" t="s">
        <v>51</v>
      </c>
      <c r="P21" s="6"/>
      <c r="Q21" s="6"/>
    </row>
    <row r="22" customFormat="false" ht="23.85" hidden="false" customHeight="false" outlineLevel="0" collapsed="false">
      <c r="A22" s="6" t="s">
        <v>172</v>
      </c>
      <c r="B22" s="6" t="s">
        <v>41</v>
      </c>
      <c r="C22" s="6" t="s">
        <v>162</v>
      </c>
      <c r="D22" s="6" t="s">
        <v>163</v>
      </c>
      <c r="E22" s="6" t="s">
        <v>173</v>
      </c>
      <c r="F22" s="6" t="s">
        <v>174</v>
      </c>
      <c r="G22" s="6" t="s">
        <v>46</v>
      </c>
      <c r="H22" s="6" t="s">
        <v>21</v>
      </c>
      <c r="I22" s="9" t="n">
        <v>88</v>
      </c>
      <c r="J22" s="6" t="s">
        <v>7</v>
      </c>
      <c r="K22" s="6" t="s">
        <v>175</v>
      </c>
      <c r="L22" s="6" t="s">
        <v>48</v>
      </c>
      <c r="M22" s="6" t="s">
        <v>176</v>
      </c>
      <c r="N22" s="6" t="s">
        <v>50</v>
      </c>
      <c r="O22" s="6" t="s">
        <v>51</v>
      </c>
      <c r="P22" s="6"/>
      <c r="Q22" s="6"/>
    </row>
    <row r="23" customFormat="false" ht="23.85" hidden="false" customHeight="false" outlineLevel="0" collapsed="false">
      <c r="A23" s="6" t="s">
        <v>177</v>
      </c>
      <c r="B23" s="6" t="s">
        <v>41</v>
      </c>
      <c r="C23" s="6" t="s">
        <v>178</v>
      </c>
      <c r="D23" s="6" t="s">
        <v>179</v>
      </c>
      <c r="E23" s="6" t="s">
        <v>139</v>
      </c>
      <c r="F23" s="6" t="s">
        <v>180</v>
      </c>
      <c r="G23" s="6" t="s">
        <v>46</v>
      </c>
      <c r="H23" s="6" t="s">
        <v>21</v>
      </c>
      <c r="I23" s="9" t="n">
        <v>88</v>
      </c>
      <c r="J23" s="6" t="s">
        <v>7</v>
      </c>
      <c r="K23" s="6" t="s">
        <v>181</v>
      </c>
      <c r="L23" s="6" t="s">
        <v>48</v>
      </c>
      <c r="M23" s="6" t="s">
        <v>182</v>
      </c>
      <c r="N23" s="6" t="s">
        <v>50</v>
      </c>
      <c r="O23" s="6" t="s">
        <v>51</v>
      </c>
      <c r="P23" s="6"/>
      <c r="Q23" s="6"/>
    </row>
    <row r="24" customFormat="false" ht="23.85" hidden="false" customHeight="false" outlineLevel="0" collapsed="false">
      <c r="A24" s="6" t="s">
        <v>183</v>
      </c>
      <c r="B24" s="6" t="s">
        <v>41</v>
      </c>
      <c r="C24" s="6" t="s">
        <v>184</v>
      </c>
      <c r="D24" s="6" t="s">
        <v>185</v>
      </c>
      <c r="E24" s="6" t="s">
        <v>139</v>
      </c>
      <c r="F24" s="6" t="s">
        <v>186</v>
      </c>
      <c r="G24" s="6" t="s">
        <v>46</v>
      </c>
      <c r="H24" s="6" t="s">
        <v>21</v>
      </c>
      <c r="I24" s="9" t="n">
        <v>90</v>
      </c>
      <c r="J24" s="6" t="s">
        <v>7</v>
      </c>
      <c r="K24" s="6" t="s">
        <v>187</v>
      </c>
      <c r="L24" s="6" t="s">
        <v>58</v>
      </c>
      <c r="M24" s="6" t="s">
        <v>188</v>
      </c>
      <c r="N24" s="6" t="s">
        <v>50</v>
      </c>
      <c r="O24" s="6" t="s">
        <v>51</v>
      </c>
      <c r="P24" s="6"/>
      <c r="Q24" s="6"/>
    </row>
    <row r="25" customFormat="false" ht="23.85" hidden="false" customHeight="false" outlineLevel="0" collapsed="false">
      <c r="A25" s="6" t="s">
        <v>189</v>
      </c>
      <c r="B25" s="6" t="s">
        <v>41</v>
      </c>
      <c r="C25" s="6" t="s">
        <v>190</v>
      </c>
      <c r="D25" s="6" t="s">
        <v>70</v>
      </c>
      <c r="E25" s="6" t="s">
        <v>139</v>
      </c>
      <c r="F25" s="6" t="s">
        <v>191</v>
      </c>
      <c r="G25" s="6" t="s">
        <v>46</v>
      </c>
      <c r="H25" s="6" t="s">
        <v>21</v>
      </c>
      <c r="I25" s="9" t="n">
        <v>88</v>
      </c>
      <c r="J25" s="6" t="s">
        <v>7</v>
      </c>
      <c r="K25" s="6" t="s">
        <v>192</v>
      </c>
      <c r="L25" s="6" t="s">
        <v>48</v>
      </c>
      <c r="M25" s="6" t="s">
        <v>193</v>
      </c>
      <c r="N25" s="6" t="s">
        <v>50</v>
      </c>
      <c r="O25" s="6" t="s">
        <v>51</v>
      </c>
      <c r="P25" s="6"/>
      <c r="Q25" s="6"/>
    </row>
    <row r="26" customFormat="false" ht="23.85" hidden="false" customHeight="false" outlineLevel="0" collapsed="false">
      <c r="A26" s="6" t="s">
        <v>194</v>
      </c>
      <c r="B26" s="6" t="s">
        <v>41</v>
      </c>
      <c r="C26" s="6" t="s">
        <v>190</v>
      </c>
      <c r="D26" s="6" t="s">
        <v>70</v>
      </c>
      <c r="E26" s="6" t="s">
        <v>195</v>
      </c>
      <c r="F26" s="6" t="s">
        <v>196</v>
      </c>
      <c r="G26" s="6" t="s">
        <v>46</v>
      </c>
      <c r="H26" s="6" t="s">
        <v>21</v>
      </c>
      <c r="I26" s="9" t="n">
        <v>84</v>
      </c>
      <c r="J26" s="6" t="s">
        <v>11</v>
      </c>
      <c r="K26" s="6" t="s">
        <v>197</v>
      </c>
      <c r="L26" s="6" t="s">
        <v>48</v>
      </c>
      <c r="M26" s="6" t="s">
        <v>198</v>
      </c>
      <c r="N26" s="6" t="s">
        <v>50</v>
      </c>
      <c r="O26" s="6" t="s">
        <v>51</v>
      </c>
      <c r="P26" s="6"/>
      <c r="Q26" s="6"/>
    </row>
    <row r="27" customFormat="false" ht="23.85" hidden="false" customHeight="false" outlineLevel="0" collapsed="false">
      <c r="A27" s="6" t="s">
        <v>199</v>
      </c>
      <c r="B27" s="6" t="s">
        <v>200</v>
      </c>
      <c r="C27" s="6" t="s">
        <v>201</v>
      </c>
      <c r="D27" s="6" t="s">
        <v>179</v>
      </c>
      <c r="E27" s="6" t="s">
        <v>202</v>
      </c>
      <c r="F27" s="6" t="s">
        <v>203</v>
      </c>
      <c r="G27" s="6" t="s">
        <v>46</v>
      </c>
      <c r="H27" s="6" t="s">
        <v>21</v>
      </c>
      <c r="I27" s="9" t="n">
        <v>83</v>
      </c>
      <c r="J27" s="6" t="s">
        <v>11</v>
      </c>
      <c r="K27" s="6" t="s">
        <v>204</v>
      </c>
      <c r="L27" s="6" t="s">
        <v>48</v>
      </c>
      <c r="M27" s="6" t="s">
        <v>205</v>
      </c>
      <c r="N27" s="6" t="s">
        <v>50</v>
      </c>
      <c r="O27" s="6" t="s">
        <v>51</v>
      </c>
      <c r="P27" s="6"/>
      <c r="Q27" s="6"/>
    </row>
    <row r="28" customFormat="false" ht="23.85" hidden="false" customHeight="false" outlineLevel="0" collapsed="false">
      <c r="A28" s="6" t="s">
        <v>206</v>
      </c>
      <c r="B28" s="6" t="s">
        <v>41</v>
      </c>
      <c r="C28" s="6" t="s">
        <v>190</v>
      </c>
      <c r="D28" s="6" t="s">
        <v>70</v>
      </c>
      <c r="E28" s="6" t="s">
        <v>139</v>
      </c>
      <c r="F28" s="6" t="s">
        <v>207</v>
      </c>
      <c r="G28" s="6" t="s">
        <v>46</v>
      </c>
      <c r="H28" s="6" t="s">
        <v>21</v>
      </c>
      <c r="I28" s="9" t="n">
        <v>80</v>
      </c>
      <c r="J28" s="6" t="s">
        <v>11</v>
      </c>
      <c r="K28" s="6" t="s">
        <v>208</v>
      </c>
      <c r="L28" s="6" t="s">
        <v>48</v>
      </c>
      <c r="M28" s="6" t="s">
        <v>209</v>
      </c>
      <c r="N28" s="6" t="s">
        <v>50</v>
      </c>
      <c r="O28" s="6" t="s">
        <v>51</v>
      </c>
      <c r="P28" s="6"/>
      <c r="Q28" s="6"/>
    </row>
    <row r="29" customFormat="false" ht="23.85" hidden="false" customHeight="false" outlineLevel="0" collapsed="false">
      <c r="A29" s="6" t="s">
        <v>210</v>
      </c>
      <c r="B29" s="6" t="s">
        <v>41</v>
      </c>
      <c r="C29" s="6" t="s">
        <v>211</v>
      </c>
      <c r="D29" s="6" t="s">
        <v>212</v>
      </c>
      <c r="E29" s="6" t="s">
        <v>213</v>
      </c>
      <c r="F29" s="6" t="s">
        <v>214</v>
      </c>
      <c r="G29" s="6" t="s">
        <v>46</v>
      </c>
      <c r="H29" s="6" t="s">
        <v>21</v>
      </c>
      <c r="I29" s="9" t="n">
        <v>88</v>
      </c>
      <c r="J29" s="6" t="s">
        <v>7</v>
      </c>
      <c r="K29" s="6" t="s">
        <v>215</v>
      </c>
      <c r="L29" s="6" t="s">
        <v>48</v>
      </c>
      <c r="M29" s="6" t="s">
        <v>216</v>
      </c>
      <c r="N29" s="6" t="s">
        <v>50</v>
      </c>
      <c r="O29" s="6" t="s">
        <v>51</v>
      </c>
      <c r="P29" s="6"/>
      <c r="Q29" s="6"/>
    </row>
    <row r="30" customFormat="false" ht="23.85" hidden="false" customHeight="false" outlineLevel="0" collapsed="false">
      <c r="A30" s="6" t="s">
        <v>217</v>
      </c>
      <c r="B30" s="6" t="s">
        <v>218</v>
      </c>
      <c r="C30" s="6" t="s">
        <v>219</v>
      </c>
      <c r="D30" s="6" t="s">
        <v>220</v>
      </c>
      <c r="E30" s="6" t="s">
        <v>221</v>
      </c>
      <c r="F30" s="6" t="s">
        <v>222</v>
      </c>
      <c r="G30" s="6" t="s">
        <v>46</v>
      </c>
      <c r="H30" s="6" t="s">
        <v>21</v>
      </c>
      <c r="I30" s="9" t="n">
        <v>79</v>
      </c>
      <c r="J30" s="6" t="s">
        <v>11</v>
      </c>
      <c r="K30" s="6" t="s">
        <v>223</v>
      </c>
      <c r="L30" s="6" t="s">
        <v>224</v>
      </c>
      <c r="M30" s="6" t="s">
        <v>225</v>
      </c>
      <c r="N30" s="6" t="s">
        <v>50</v>
      </c>
      <c r="O30" s="6" t="s">
        <v>51</v>
      </c>
      <c r="P30" s="6"/>
      <c r="Q30" s="6"/>
    </row>
    <row r="31" customFormat="false" ht="23.85" hidden="false" customHeight="false" outlineLevel="0" collapsed="false">
      <c r="A31" s="6" t="s">
        <v>226</v>
      </c>
      <c r="B31" s="6" t="s">
        <v>41</v>
      </c>
      <c r="C31" s="6" t="s">
        <v>227</v>
      </c>
      <c r="D31" s="6" t="s">
        <v>220</v>
      </c>
      <c r="E31" s="6" t="s">
        <v>228</v>
      </c>
      <c r="F31" s="6" t="s">
        <v>229</v>
      </c>
      <c r="G31" s="6" t="s">
        <v>46</v>
      </c>
      <c r="H31" s="6" t="s">
        <v>21</v>
      </c>
      <c r="I31" s="9" t="n">
        <v>92</v>
      </c>
      <c r="J31" s="6" t="s">
        <v>7</v>
      </c>
      <c r="K31" s="6" t="s">
        <v>230</v>
      </c>
      <c r="L31" s="6" t="s">
        <v>58</v>
      </c>
      <c r="M31" s="6" t="s">
        <v>231</v>
      </c>
      <c r="N31" s="6" t="s">
        <v>50</v>
      </c>
      <c r="O31" s="6" t="s">
        <v>51</v>
      </c>
      <c r="P31" s="6"/>
      <c r="Q31" s="6"/>
    </row>
    <row r="32" customFormat="false" ht="23.85" hidden="false" customHeight="false" outlineLevel="0" collapsed="false">
      <c r="A32" s="6" t="s">
        <v>232</v>
      </c>
      <c r="B32" s="6" t="s">
        <v>91</v>
      </c>
      <c r="C32" s="6" t="s">
        <v>233</v>
      </c>
      <c r="D32" s="6" t="s">
        <v>220</v>
      </c>
      <c r="E32" s="6" t="s">
        <v>234</v>
      </c>
      <c r="F32" s="6" t="s">
        <v>235</v>
      </c>
      <c r="G32" s="6" t="s">
        <v>46</v>
      </c>
      <c r="H32" s="6" t="s">
        <v>21</v>
      </c>
      <c r="I32" s="9" t="n">
        <v>96</v>
      </c>
      <c r="J32" s="6" t="s">
        <v>7</v>
      </c>
      <c r="K32" s="6" t="s">
        <v>236</v>
      </c>
      <c r="L32" s="6" t="s">
        <v>58</v>
      </c>
      <c r="M32" s="6" t="s">
        <v>237</v>
      </c>
      <c r="N32" s="6" t="s">
        <v>50</v>
      </c>
      <c r="O32" s="6" t="s">
        <v>51</v>
      </c>
      <c r="P32" s="6"/>
      <c r="Q32" s="6"/>
    </row>
    <row r="33" customFormat="false" ht="23.85" hidden="false" customHeight="false" outlineLevel="0" collapsed="false">
      <c r="A33" s="6" t="s">
        <v>238</v>
      </c>
      <c r="B33" s="6" t="s">
        <v>239</v>
      </c>
      <c r="C33" s="6" t="s">
        <v>233</v>
      </c>
      <c r="D33" s="6" t="s">
        <v>220</v>
      </c>
      <c r="E33" s="6" t="s">
        <v>240</v>
      </c>
      <c r="F33" s="6" t="s">
        <v>241</v>
      </c>
      <c r="G33" s="6" t="s">
        <v>46</v>
      </c>
      <c r="H33" s="6" t="s">
        <v>21</v>
      </c>
      <c r="I33" s="9" t="n">
        <v>94</v>
      </c>
      <c r="J33" s="6" t="s">
        <v>7</v>
      </c>
      <c r="K33" s="6" t="s">
        <v>242</v>
      </c>
      <c r="L33" s="6" t="s">
        <v>58</v>
      </c>
      <c r="M33" s="6" t="s">
        <v>243</v>
      </c>
      <c r="N33" s="6" t="s">
        <v>50</v>
      </c>
      <c r="O33" s="6" t="s">
        <v>51</v>
      </c>
      <c r="P33" s="6"/>
      <c r="Q33" s="6"/>
    </row>
    <row r="34" customFormat="false" ht="23.85" hidden="false" customHeight="false" outlineLevel="0" collapsed="false">
      <c r="A34" s="6" t="s">
        <v>244</v>
      </c>
      <c r="B34" s="6" t="s">
        <v>245</v>
      </c>
      <c r="C34" s="6" t="s">
        <v>233</v>
      </c>
      <c r="D34" s="6" t="s">
        <v>220</v>
      </c>
      <c r="E34" s="6" t="s">
        <v>246</v>
      </c>
      <c r="F34" s="6" t="s">
        <v>247</v>
      </c>
      <c r="G34" s="6" t="s">
        <v>46</v>
      </c>
      <c r="H34" s="6" t="s">
        <v>21</v>
      </c>
      <c r="I34" s="9" t="n">
        <v>99</v>
      </c>
      <c r="J34" s="6" t="s">
        <v>7</v>
      </c>
      <c r="K34" s="6" t="s">
        <v>248</v>
      </c>
      <c r="L34" s="6" t="s">
        <v>249</v>
      </c>
      <c r="M34" s="6" t="s">
        <v>250</v>
      </c>
      <c r="N34" s="6" t="s">
        <v>50</v>
      </c>
      <c r="O34" s="6" t="s">
        <v>51</v>
      </c>
      <c r="P34" s="6"/>
      <c r="Q34" s="6"/>
    </row>
    <row r="35" customFormat="false" ht="35.05" hidden="false" customHeight="false" outlineLevel="0" collapsed="false">
      <c r="A35" s="6" t="s">
        <v>251</v>
      </c>
      <c r="B35" s="6" t="s">
        <v>239</v>
      </c>
      <c r="C35" s="6" t="s">
        <v>233</v>
      </c>
      <c r="D35" s="6" t="s">
        <v>220</v>
      </c>
      <c r="E35" s="6" t="s">
        <v>252</v>
      </c>
      <c r="F35" s="6" t="s">
        <v>253</v>
      </c>
      <c r="G35" s="6" t="s">
        <v>46</v>
      </c>
      <c r="H35" s="6" t="s">
        <v>21</v>
      </c>
      <c r="I35" s="9" t="n">
        <v>95</v>
      </c>
      <c r="J35" s="6" t="s">
        <v>7</v>
      </c>
      <c r="K35" s="6" t="s">
        <v>254</v>
      </c>
      <c r="L35" s="6" t="s">
        <v>58</v>
      </c>
      <c r="M35" s="6" t="s">
        <v>255</v>
      </c>
      <c r="N35" s="6" t="s">
        <v>50</v>
      </c>
      <c r="O35" s="6" t="s">
        <v>51</v>
      </c>
      <c r="P35" s="6"/>
      <c r="Q35" s="6"/>
    </row>
    <row r="36" customFormat="false" ht="23.85" hidden="false" customHeight="false" outlineLevel="0" collapsed="false">
      <c r="A36" s="6" t="s">
        <v>256</v>
      </c>
      <c r="B36" s="6" t="s">
        <v>41</v>
      </c>
      <c r="C36" s="6" t="s">
        <v>257</v>
      </c>
      <c r="D36" s="6" t="s">
        <v>258</v>
      </c>
      <c r="E36" s="6" t="s">
        <v>102</v>
      </c>
      <c r="F36" s="6" t="s">
        <v>259</v>
      </c>
      <c r="G36" s="6" t="s">
        <v>81</v>
      </c>
      <c r="H36" s="6" t="s">
        <v>21</v>
      </c>
      <c r="I36" s="9" t="n">
        <v>81</v>
      </c>
      <c r="J36" s="6" t="s">
        <v>11</v>
      </c>
      <c r="K36" s="6" t="s">
        <v>260</v>
      </c>
      <c r="L36" s="6" t="s">
        <v>48</v>
      </c>
      <c r="M36" s="6" t="s">
        <v>261</v>
      </c>
      <c r="N36" s="6" t="s">
        <v>50</v>
      </c>
      <c r="O36" s="6" t="s">
        <v>51</v>
      </c>
      <c r="P36" s="6"/>
      <c r="Q36" s="6"/>
    </row>
    <row r="37" customFormat="false" ht="23.85" hidden="false" customHeight="false" outlineLevel="0" collapsed="false">
      <c r="A37" s="6" t="s">
        <v>262</v>
      </c>
      <c r="B37" s="6" t="s">
        <v>91</v>
      </c>
      <c r="C37" s="6" t="s">
        <v>150</v>
      </c>
      <c r="D37" s="6" t="s">
        <v>150</v>
      </c>
      <c r="E37" s="6" t="s">
        <v>263</v>
      </c>
      <c r="F37" s="6" t="s">
        <v>264</v>
      </c>
      <c r="G37" s="6" t="s">
        <v>46</v>
      </c>
      <c r="H37" s="6" t="s">
        <v>21</v>
      </c>
      <c r="I37" s="9" t="n">
        <v>86</v>
      </c>
      <c r="J37" s="6" t="s">
        <v>11</v>
      </c>
      <c r="K37" s="6" t="s">
        <v>265</v>
      </c>
      <c r="L37" s="6" t="s">
        <v>48</v>
      </c>
      <c r="M37" s="6" t="s">
        <v>266</v>
      </c>
      <c r="N37" s="6" t="s">
        <v>50</v>
      </c>
      <c r="O37" s="6" t="s">
        <v>51</v>
      </c>
      <c r="P37" s="6"/>
      <c r="Q37" s="6"/>
    </row>
    <row r="38" customFormat="false" ht="23.85" hidden="false" customHeight="false" outlineLevel="0" collapsed="false">
      <c r="A38" s="6" t="s">
        <v>267</v>
      </c>
      <c r="B38" s="6" t="s">
        <v>268</v>
      </c>
      <c r="C38" s="6" t="s">
        <v>150</v>
      </c>
      <c r="D38" s="6" t="s">
        <v>150</v>
      </c>
      <c r="E38" s="6" t="s">
        <v>269</v>
      </c>
      <c r="F38" s="6" t="s">
        <v>270</v>
      </c>
      <c r="G38" s="6" t="s">
        <v>46</v>
      </c>
      <c r="H38" s="6" t="s">
        <v>21</v>
      </c>
      <c r="I38" s="9" t="n">
        <v>97</v>
      </c>
      <c r="J38" s="6" t="s">
        <v>7</v>
      </c>
      <c r="K38" s="6" t="s">
        <v>271</v>
      </c>
      <c r="L38" s="6" t="s">
        <v>58</v>
      </c>
      <c r="M38" s="6" t="s">
        <v>272</v>
      </c>
      <c r="N38" s="6" t="s">
        <v>50</v>
      </c>
      <c r="O38" s="6" t="s">
        <v>51</v>
      </c>
      <c r="P38" s="6"/>
      <c r="Q38" s="6"/>
    </row>
    <row r="39" customFormat="false" ht="23.85" hidden="false" customHeight="false" outlineLevel="0" collapsed="false">
      <c r="A39" s="6" t="s">
        <v>273</v>
      </c>
      <c r="B39" s="6" t="s">
        <v>91</v>
      </c>
      <c r="C39" s="6" t="s">
        <v>274</v>
      </c>
      <c r="D39" s="6" t="s">
        <v>150</v>
      </c>
      <c r="E39" s="6" t="s">
        <v>275</v>
      </c>
      <c r="F39" s="6" t="s">
        <v>276</v>
      </c>
      <c r="G39" s="6" t="s">
        <v>46</v>
      </c>
      <c r="H39" s="6" t="s">
        <v>21</v>
      </c>
      <c r="I39" s="9" t="n">
        <v>84</v>
      </c>
      <c r="J39" s="6" t="s">
        <v>11</v>
      </c>
      <c r="K39" s="6" t="s">
        <v>277</v>
      </c>
      <c r="L39" s="6" t="s">
        <v>48</v>
      </c>
      <c r="M39" s="6" t="s">
        <v>278</v>
      </c>
      <c r="N39" s="6" t="s">
        <v>50</v>
      </c>
      <c r="O39" s="6" t="s">
        <v>51</v>
      </c>
      <c r="P39" s="6"/>
      <c r="Q39" s="6"/>
    </row>
    <row r="40" customFormat="false" ht="23.85" hidden="false" customHeight="false" outlineLevel="0" collapsed="false">
      <c r="A40" s="6" t="s">
        <v>279</v>
      </c>
      <c r="B40" s="6" t="s">
        <v>280</v>
      </c>
      <c r="C40" s="6" t="s">
        <v>281</v>
      </c>
      <c r="D40" s="6" t="s">
        <v>282</v>
      </c>
      <c r="E40" s="6" t="s">
        <v>283</v>
      </c>
      <c r="F40" s="6" t="s">
        <v>284</v>
      </c>
      <c r="G40" s="6" t="s">
        <v>46</v>
      </c>
      <c r="H40" s="6" t="s">
        <v>21</v>
      </c>
      <c r="I40" s="9" t="n">
        <v>78</v>
      </c>
      <c r="J40" s="6" t="s">
        <v>11</v>
      </c>
      <c r="K40" s="6" t="s">
        <v>285</v>
      </c>
      <c r="L40" s="6" t="s">
        <v>224</v>
      </c>
      <c r="M40" s="6" t="s">
        <v>286</v>
      </c>
      <c r="N40" s="6" t="s">
        <v>50</v>
      </c>
      <c r="O40" s="6" t="s">
        <v>51</v>
      </c>
      <c r="P40" s="6"/>
      <c r="Q40" s="6"/>
    </row>
    <row r="41" customFormat="false" ht="23.85" hidden="false" customHeight="false" outlineLevel="0" collapsed="false">
      <c r="A41" s="6" t="s">
        <v>287</v>
      </c>
      <c r="B41" s="6" t="s">
        <v>53</v>
      </c>
      <c r="C41" s="6" t="s">
        <v>77</v>
      </c>
      <c r="D41" s="6" t="s">
        <v>78</v>
      </c>
      <c r="E41" s="6" t="s">
        <v>288</v>
      </c>
      <c r="F41" s="6" t="s">
        <v>289</v>
      </c>
      <c r="G41" s="6" t="s">
        <v>46</v>
      </c>
      <c r="H41" s="6" t="s">
        <v>21</v>
      </c>
      <c r="I41" s="9" t="n">
        <v>96</v>
      </c>
      <c r="J41" s="6" t="s">
        <v>7</v>
      </c>
      <c r="K41" s="6" t="s">
        <v>290</v>
      </c>
      <c r="L41" s="6" t="s">
        <v>58</v>
      </c>
      <c r="M41" s="6" t="s">
        <v>291</v>
      </c>
      <c r="N41" s="6" t="s">
        <v>50</v>
      </c>
      <c r="O41" s="6" t="s">
        <v>51</v>
      </c>
      <c r="P41" s="6"/>
      <c r="Q41" s="6"/>
    </row>
    <row r="42" customFormat="false" ht="23.85" hidden="false" customHeight="false" outlineLevel="0" collapsed="false">
      <c r="A42" s="6" t="s">
        <v>292</v>
      </c>
      <c r="B42" s="6" t="s">
        <v>268</v>
      </c>
      <c r="C42" s="6" t="s">
        <v>293</v>
      </c>
      <c r="D42" s="6" t="s">
        <v>293</v>
      </c>
      <c r="E42" s="6" t="s">
        <v>294</v>
      </c>
      <c r="F42" s="6" t="s">
        <v>295</v>
      </c>
      <c r="G42" s="6" t="s">
        <v>46</v>
      </c>
      <c r="H42" s="6" t="s">
        <v>21</v>
      </c>
      <c r="I42" s="9" t="n">
        <v>90</v>
      </c>
      <c r="J42" s="6" t="s">
        <v>7</v>
      </c>
      <c r="K42" s="6" t="s">
        <v>296</v>
      </c>
      <c r="L42" s="6" t="s">
        <v>58</v>
      </c>
      <c r="M42" s="6" t="s">
        <v>297</v>
      </c>
      <c r="N42" s="6" t="s">
        <v>50</v>
      </c>
      <c r="O42" s="6" t="s">
        <v>51</v>
      </c>
      <c r="P42" s="6"/>
      <c r="Q42" s="6"/>
    </row>
    <row r="43" customFormat="false" ht="23.85" hidden="false" customHeight="false" outlineLevel="0" collapsed="false">
      <c r="A43" s="6" t="s">
        <v>298</v>
      </c>
      <c r="B43" s="6" t="s">
        <v>53</v>
      </c>
      <c r="C43" s="6" t="s">
        <v>293</v>
      </c>
      <c r="D43" s="6" t="s">
        <v>293</v>
      </c>
      <c r="E43" s="6" t="s">
        <v>299</v>
      </c>
      <c r="F43" s="6" t="s">
        <v>300</v>
      </c>
      <c r="G43" s="6" t="s">
        <v>46</v>
      </c>
      <c r="H43" s="6" t="s">
        <v>21</v>
      </c>
      <c r="I43" s="9" t="n">
        <v>97</v>
      </c>
      <c r="J43" s="6" t="s">
        <v>7</v>
      </c>
      <c r="K43" s="6" t="s">
        <v>301</v>
      </c>
      <c r="L43" s="6" t="s">
        <v>58</v>
      </c>
      <c r="M43" s="6" t="s">
        <v>302</v>
      </c>
      <c r="N43" s="6" t="s">
        <v>50</v>
      </c>
      <c r="O43" s="6" t="s">
        <v>51</v>
      </c>
      <c r="P43" s="6"/>
      <c r="Q43" s="6"/>
    </row>
    <row r="44" customFormat="false" ht="23.85" hidden="false" customHeight="false" outlineLevel="0" collapsed="false">
      <c r="A44" s="6" t="s">
        <v>303</v>
      </c>
      <c r="B44" s="6" t="s">
        <v>304</v>
      </c>
      <c r="C44" s="6" t="s">
        <v>305</v>
      </c>
      <c r="D44" s="6" t="s">
        <v>293</v>
      </c>
      <c r="E44" s="6" t="s">
        <v>113</v>
      </c>
      <c r="F44" s="6" t="s">
        <v>306</v>
      </c>
      <c r="G44" s="6" t="s">
        <v>46</v>
      </c>
      <c r="H44" s="6" t="s">
        <v>21</v>
      </c>
      <c r="I44" s="9" t="n">
        <v>87</v>
      </c>
      <c r="J44" s="6" t="s">
        <v>11</v>
      </c>
      <c r="K44" s="6" t="s">
        <v>307</v>
      </c>
      <c r="L44" s="6" t="s">
        <v>48</v>
      </c>
      <c r="M44" s="6" t="s">
        <v>308</v>
      </c>
      <c r="N44" s="6" t="s">
        <v>50</v>
      </c>
      <c r="O44" s="6" t="s">
        <v>51</v>
      </c>
      <c r="P44" s="6"/>
      <c r="Q44" s="6"/>
    </row>
    <row r="45" customFormat="false" ht="23.85" hidden="false" customHeight="false" outlineLevel="0" collapsed="false">
      <c r="A45" s="6" t="s">
        <v>309</v>
      </c>
      <c r="B45" s="6" t="s">
        <v>310</v>
      </c>
      <c r="C45" s="6" t="s">
        <v>311</v>
      </c>
      <c r="D45" s="6" t="s">
        <v>312</v>
      </c>
      <c r="E45" s="6" t="s">
        <v>313</v>
      </c>
      <c r="F45" s="6" t="s">
        <v>314</v>
      </c>
      <c r="G45" s="6" t="s">
        <v>46</v>
      </c>
      <c r="H45" s="6" t="s">
        <v>21</v>
      </c>
      <c r="I45" s="9" t="n">
        <v>89</v>
      </c>
      <c r="J45" s="6" t="s">
        <v>7</v>
      </c>
      <c r="K45" s="6" t="s">
        <v>315</v>
      </c>
      <c r="L45" s="6" t="s">
        <v>48</v>
      </c>
      <c r="M45" s="6" t="s">
        <v>316</v>
      </c>
      <c r="N45" s="6" t="s">
        <v>50</v>
      </c>
      <c r="O45" s="6" t="s">
        <v>51</v>
      </c>
      <c r="P45" s="6"/>
      <c r="Q45" s="6"/>
    </row>
    <row r="46" customFormat="false" ht="23.85" hidden="false" customHeight="false" outlineLevel="0" collapsed="false">
      <c r="A46" s="6" t="s">
        <v>317</v>
      </c>
      <c r="B46" s="6" t="s">
        <v>68</v>
      </c>
      <c r="C46" s="6" t="s">
        <v>281</v>
      </c>
      <c r="D46" s="6" t="s">
        <v>282</v>
      </c>
      <c r="E46" s="6" t="s">
        <v>275</v>
      </c>
      <c r="F46" s="6" t="s">
        <v>318</v>
      </c>
      <c r="G46" s="6" t="s">
        <v>46</v>
      </c>
      <c r="H46" s="6" t="s">
        <v>21</v>
      </c>
      <c r="I46" s="9" t="n">
        <v>80</v>
      </c>
      <c r="J46" s="6" t="s">
        <v>11</v>
      </c>
      <c r="K46" s="6" t="s">
        <v>319</v>
      </c>
      <c r="L46" s="6" t="s">
        <v>224</v>
      </c>
      <c r="M46" s="6" t="s">
        <v>320</v>
      </c>
      <c r="N46" s="6" t="s">
        <v>50</v>
      </c>
      <c r="O46" s="6" t="s">
        <v>51</v>
      </c>
      <c r="P46" s="6"/>
      <c r="Q46" s="6"/>
    </row>
    <row r="47" customFormat="false" ht="23.85" hidden="false" customHeight="false" outlineLevel="0" collapsed="false">
      <c r="A47" s="6" t="s">
        <v>321</v>
      </c>
      <c r="B47" s="6" t="s">
        <v>53</v>
      </c>
      <c r="C47" s="6" t="s">
        <v>150</v>
      </c>
      <c r="D47" s="6" t="s">
        <v>150</v>
      </c>
      <c r="E47" s="6" t="s">
        <v>322</v>
      </c>
      <c r="F47" s="6" t="s">
        <v>323</v>
      </c>
      <c r="G47" s="6" t="s">
        <v>46</v>
      </c>
      <c r="H47" s="6" t="s">
        <v>21</v>
      </c>
      <c r="I47" s="9" t="n">
        <v>97</v>
      </c>
      <c r="J47" s="6" t="s">
        <v>7</v>
      </c>
      <c r="K47" s="6" t="s">
        <v>324</v>
      </c>
      <c r="L47" s="6" t="s">
        <v>58</v>
      </c>
      <c r="M47" s="6" t="s">
        <v>325</v>
      </c>
      <c r="N47" s="6" t="s">
        <v>50</v>
      </c>
      <c r="O47" s="6" t="s">
        <v>51</v>
      </c>
      <c r="P47" s="6"/>
      <c r="Q47" s="6"/>
    </row>
    <row r="48" customFormat="false" ht="23.85" hidden="false" customHeight="false" outlineLevel="0" collapsed="false">
      <c r="A48" s="6" t="s">
        <v>326</v>
      </c>
      <c r="B48" s="6" t="s">
        <v>91</v>
      </c>
      <c r="C48" s="6" t="s">
        <v>281</v>
      </c>
      <c r="D48" s="6" t="s">
        <v>282</v>
      </c>
      <c r="E48" s="6" t="s">
        <v>327</v>
      </c>
      <c r="F48" s="6" t="s">
        <v>328</v>
      </c>
      <c r="G48" s="6" t="s">
        <v>329</v>
      </c>
      <c r="H48" s="6" t="s">
        <v>21</v>
      </c>
      <c r="I48" s="9" t="n">
        <v>90</v>
      </c>
      <c r="J48" s="6" t="s">
        <v>7</v>
      </c>
      <c r="K48" s="6" t="s">
        <v>330</v>
      </c>
      <c r="L48" s="6" t="s">
        <v>58</v>
      </c>
      <c r="M48" s="6" t="s">
        <v>331</v>
      </c>
      <c r="N48" s="6" t="s">
        <v>50</v>
      </c>
      <c r="O48" s="6" t="s">
        <v>51</v>
      </c>
      <c r="P48" s="6"/>
      <c r="Q48" s="6"/>
    </row>
    <row r="49" customFormat="false" ht="23.85" hidden="false" customHeight="false" outlineLevel="0" collapsed="false">
      <c r="A49" s="6" t="s">
        <v>332</v>
      </c>
      <c r="B49" s="6" t="s">
        <v>333</v>
      </c>
      <c r="C49" s="6" t="s">
        <v>69</v>
      </c>
      <c r="D49" s="6" t="s">
        <v>70</v>
      </c>
      <c r="E49" s="6" t="s">
        <v>334</v>
      </c>
      <c r="F49" s="6" t="s">
        <v>335</v>
      </c>
      <c r="G49" s="6" t="s">
        <v>46</v>
      </c>
      <c r="H49" s="6" t="s">
        <v>21</v>
      </c>
      <c r="I49" s="9" t="n">
        <v>88</v>
      </c>
      <c r="J49" s="6" t="s">
        <v>7</v>
      </c>
      <c r="K49" s="6" t="s">
        <v>336</v>
      </c>
      <c r="L49" s="6" t="s">
        <v>48</v>
      </c>
      <c r="M49" s="6" t="s">
        <v>337</v>
      </c>
      <c r="N49" s="6" t="s">
        <v>50</v>
      </c>
      <c r="O49" s="6" t="s">
        <v>51</v>
      </c>
      <c r="P49" s="6"/>
      <c r="Q49" s="6"/>
    </row>
    <row r="50" customFormat="false" ht="23.85" hidden="false" customHeight="false" outlineLevel="0" collapsed="false">
      <c r="A50" s="6" t="s">
        <v>338</v>
      </c>
      <c r="B50" s="6" t="s">
        <v>53</v>
      </c>
      <c r="C50" s="6" t="s">
        <v>77</v>
      </c>
      <c r="D50" s="6" t="s">
        <v>78</v>
      </c>
      <c r="E50" s="6" t="s">
        <v>339</v>
      </c>
      <c r="F50" s="6" t="s">
        <v>340</v>
      </c>
      <c r="G50" s="6" t="s">
        <v>46</v>
      </c>
      <c r="H50" s="6" t="s">
        <v>21</v>
      </c>
      <c r="I50" s="9" t="n">
        <v>98</v>
      </c>
      <c r="J50" s="6" t="s">
        <v>7</v>
      </c>
      <c r="K50" s="6" t="s">
        <v>341</v>
      </c>
      <c r="L50" s="6" t="s">
        <v>58</v>
      </c>
      <c r="M50" s="6" t="s">
        <v>342</v>
      </c>
      <c r="N50" s="6" t="s">
        <v>50</v>
      </c>
      <c r="O50" s="6" t="s">
        <v>51</v>
      </c>
      <c r="P50" s="6"/>
      <c r="Q50" s="6"/>
    </row>
    <row r="51" customFormat="false" ht="23.85" hidden="false" customHeight="false" outlineLevel="0" collapsed="false">
      <c r="A51" s="6" t="s">
        <v>343</v>
      </c>
      <c r="B51" s="6" t="s">
        <v>41</v>
      </c>
      <c r="C51" s="6" t="s">
        <v>344</v>
      </c>
      <c r="D51" s="6" t="s">
        <v>70</v>
      </c>
      <c r="E51" s="6" t="s">
        <v>345</v>
      </c>
      <c r="F51" s="6" t="s">
        <v>346</v>
      </c>
      <c r="G51" s="6" t="s">
        <v>81</v>
      </c>
      <c r="H51" s="6" t="s">
        <v>21</v>
      </c>
      <c r="I51" s="9" t="n">
        <v>96</v>
      </c>
      <c r="J51" s="6" t="s">
        <v>7</v>
      </c>
      <c r="K51" s="6" t="s">
        <v>347</v>
      </c>
      <c r="L51" s="6" t="s">
        <v>58</v>
      </c>
      <c r="M51" s="6" t="s">
        <v>348</v>
      </c>
      <c r="N51" s="6" t="s">
        <v>50</v>
      </c>
      <c r="O51" s="6" t="s">
        <v>51</v>
      </c>
      <c r="P51" s="6"/>
      <c r="Q51" s="6"/>
    </row>
    <row r="52" customFormat="false" ht="23.85" hidden="false" customHeight="false" outlineLevel="0" collapsed="false">
      <c r="A52" s="6" t="s">
        <v>349</v>
      </c>
      <c r="B52" s="6" t="s">
        <v>53</v>
      </c>
      <c r="C52" s="6" t="s">
        <v>77</v>
      </c>
      <c r="D52" s="6" t="s">
        <v>78</v>
      </c>
      <c r="E52" s="6" t="s">
        <v>350</v>
      </c>
      <c r="F52" s="6" t="s">
        <v>351</v>
      </c>
      <c r="G52" s="6" t="s">
        <v>46</v>
      </c>
      <c r="H52" s="6" t="s">
        <v>21</v>
      </c>
      <c r="I52" s="9" t="n">
        <v>99</v>
      </c>
      <c r="J52" s="6" t="s">
        <v>7</v>
      </c>
      <c r="K52" s="6" t="s">
        <v>352</v>
      </c>
      <c r="L52" s="6" t="s">
        <v>249</v>
      </c>
      <c r="M52" s="6" t="s">
        <v>353</v>
      </c>
      <c r="N52" s="6" t="s">
        <v>50</v>
      </c>
      <c r="O52" s="6" t="s">
        <v>51</v>
      </c>
      <c r="P52" s="6"/>
      <c r="Q52" s="6"/>
    </row>
    <row r="53" customFormat="false" ht="23.85" hidden="false" customHeight="false" outlineLevel="0" collapsed="false">
      <c r="A53" s="6" t="s">
        <v>354</v>
      </c>
      <c r="B53" s="6" t="s">
        <v>91</v>
      </c>
      <c r="C53" s="6" t="s">
        <v>69</v>
      </c>
      <c r="D53" s="6" t="s">
        <v>70</v>
      </c>
      <c r="E53" s="6" t="s">
        <v>355</v>
      </c>
      <c r="F53" s="6" t="s">
        <v>356</v>
      </c>
      <c r="G53" s="6" t="s">
        <v>46</v>
      </c>
      <c r="H53" s="6" t="s">
        <v>21</v>
      </c>
      <c r="I53" s="9" t="n">
        <v>90</v>
      </c>
      <c r="J53" s="6" t="s">
        <v>7</v>
      </c>
      <c r="K53" s="6" t="s">
        <v>357</v>
      </c>
      <c r="L53" s="6" t="s">
        <v>58</v>
      </c>
      <c r="M53" s="6" t="s">
        <v>358</v>
      </c>
      <c r="N53" s="6" t="s">
        <v>50</v>
      </c>
      <c r="O53" s="6" t="s">
        <v>51</v>
      </c>
      <c r="P53" s="6"/>
      <c r="Q53" s="6"/>
    </row>
    <row r="54" customFormat="false" ht="23.85" hidden="false" customHeight="false" outlineLevel="0" collapsed="false">
      <c r="A54" s="6" t="s">
        <v>359</v>
      </c>
      <c r="B54" s="6" t="s">
        <v>53</v>
      </c>
      <c r="C54" s="6" t="s">
        <v>77</v>
      </c>
      <c r="D54" s="6" t="s">
        <v>78</v>
      </c>
      <c r="E54" s="6" t="s">
        <v>360</v>
      </c>
      <c r="F54" s="6" t="s">
        <v>361</v>
      </c>
      <c r="G54" s="6" t="s">
        <v>46</v>
      </c>
      <c r="H54" s="6" t="s">
        <v>21</v>
      </c>
      <c r="I54" s="9" t="n">
        <v>98</v>
      </c>
      <c r="J54" s="6" t="s">
        <v>7</v>
      </c>
      <c r="K54" s="6" t="s">
        <v>362</v>
      </c>
      <c r="L54" s="6" t="s">
        <v>58</v>
      </c>
      <c r="M54" s="6" t="s">
        <v>363</v>
      </c>
      <c r="N54" s="6" t="s">
        <v>50</v>
      </c>
      <c r="O54" s="6" t="s">
        <v>51</v>
      </c>
      <c r="P54" s="6"/>
      <c r="Q54" s="6"/>
    </row>
    <row r="55" customFormat="false" ht="23.85" hidden="false" customHeight="false" outlineLevel="0" collapsed="false">
      <c r="A55" s="6" t="s">
        <v>364</v>
      </c>
      <c r="B55" s="6" t="s">
        <v>53</v>
      </c>
      <c r="C55" s="6" t="s">
        <v>77</v>
      </c>
      <c r="D55" s="6" t="s">
        <v>78</v>
      </c>
      <c r="E55" s="6" t="s">
        <v>71</v>
      </c>
      <c r="F55" s="6" t="s">
        <v>365</v>
      </c>
      <c r="G55" s="6" t="s">
        <v>46</v>
      </c>
      <c r="H55" s="6" t="s">
        <v>21</v>
      </c>
      <c r="I55" s="9" t="n">
        <v>94</v>
      </c>
      <c r="J55" s="6" t="s">
        <v>7</v>
      </c>
      <c r="K55" s="6" t="s">
        <v>366</v>
      </c>
      <c r="L55" s="6" t="s">
        <v>58</v>
      </c>
      <c r="M55" s="6" t="s">
        <v>367</v>
      </c>
      <c r="N55" s="6" t="s">
        <v>50</v>
      </c>
      <c r="O55" s="6" t="s">
        <v>51</v>
      </c>
      <c r="P55" s="6"/>
      <c r="Q55" s="6"/>
    </row>
    <row r="56" customFormat="false" ht="23.85" hidden="false" customHeight="false" outlineLevel="0" collapsed="false">
      <c r="A56" s="6" t="s">
        <v>368</v>
      </c>
      <c r="B56" s="6" t="s">
        <v>369</v>
      </c>
      <c r="C56" s="6" t="s">
        <v>77</v>
      </c>
      <c r="D56" s="6" t="s">
        <v>78</v>
      </c>
      <c r="E56" s="6" t="s">
        <v>370</v>
      </c>
      <c r="F56" s="6" t="s">
        <v>371</v>
      </c>
      <c r="G56" s="6" t="s">
        <v>46</v>
      </c>
      <c r="H56" s="6" t="s">
        <v>21</v>
      </c>
      <c r="I56" s="9" t="n">
        <v>96</v>
      </c>
      <c r="J56" s="6" t="s">
        <v>7</v>
      </c>
      <c r="K56" s="6" t="s">
        <v>372</v>
      </c>
      <c r="L56" s="6" t="s">
        <v>58</v>
      </c>
      <c r="M56" s="6" t="s">
        <v>373</v>
      </c>
      <c r="N56" s="6" t="s">
        <v>50</v>
      </c>
      <c r="O56" s="6" t="s">
        <v>51</v>
      </c>
      <c r="P56" s="6"/>
      <c r="Q56" s="6"/>
    </row>
    <row r="57" customFormat="false" ht="23.85" hidden="false" customHeight="false" outlineLevel="0" collapsed="false">
      <c r="A57" s="6" t="s">
        <v>374</v>
      </c>
      <c r="B57" s="6" t="s">
        <v>91</v>
      </c>
      <c r="C57" s="6" t="s">
        <v>77</v>
      </c>
      <c r="D57" s="6" t="s">
        <v>78</v>
      </c>
      <c r="E57" s="6" t="s">
        <v>375</v>
      </c>
      <c r="F57" s="6" t="s">
        <v>376</v>
      </c>
      <c r="G57" s="6" t="s">
        <v>46</v>
      </c>
      <c r="H57" s="6" t="s">
        <v>21</v>
      </c>
      <c r="I57" s="9" t="n">
        <v>92</v>
      </c>
      <c r="J57" s="6" t="s">
        <v>7</v>
      </c>
      <c r="K57" s="6" t="s">
        <v>377</v>
      </c>
      <c r="L57" s="6" t="s">
        <v>58</v>
      </c>
      <c r="M57" s="6" t="s">
        <v>378</v>
      </c>
      <c r="N57" s="6" t="s">
        <v>50</v>
      </c>
      <c r="O57" s="6" t="s">
        <v>51</v>
      </c>
      <c r="P57" s="6"/>
      <c r="Q57" s="6"/>
    </row>
  </sheetData>
  <conditionalFormatting sqref="J2:J57">
    <cfRule type="containsText" priority="2" operator="containsText" aboveAverage="0" equalAverage="0" bottom="0" percent="0" rank="0" text="A" dxfId="7">
      <formula>NOT(ISERROR(SEARCH("A",J2)))</formula>
    </cfRule>
    <cfRule type="containsText" priority="3" operator="containsText" aboveAverage="0" equalAverage="0" bottom="0" percent="0" rank="0" text="B" dxfId="8">
      <formula>NOT(ISERROR(SEARCH("B",J2)))</formula>
    </cfRule>
  </conditionalFormatting>
  <conditionalFormatting sqref="N2:N57">
    <cfRule type="containsText" priority="4" operator="containsText" aboveAverage="0" equalAverage="0" bottom="0" percent="0" rank="0" text="Ganado" dxfId="9">
      <formula>NOT(ISERROR(SEARCH("Ganado",N2)))</formula>
    </cfRule>
  </conditionalFormatting>
  <dataValidations count="2">
    <dataValidation allowBlank="false" errorStyle="stop" operator="between" showDropDown="false" showErrorMessage="false" showInputMessage="false" sqref="J2:J57" type="list">
      <formula1>"A,B,Revisar"</formula1>
      <formula2>0</formula2>
    </dataValidation>
    <dataValidation allowBlank="false" errorStyle="stop" operator="between" showDropDown="false" showErrorMessage="false" showInputMessage="false" sqref="N2:N57" type="list">
      <formula1>"Sin contactar,Contactado,Respondió,Reunión,Propuesta,Ganado,No interesado,Seguimiento"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0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0" t="s">
        <v>379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8.35" hidden="false" customHeight="false" outlineLevel="0" collapsed="false">
      <c r="A4" s="11" t="s">
        <v>380</v>
      </c>
      <c r="B4" s="11" t="s">
        <v>381</v>
      </c>
      <c r="C4" s="11" t="s">
        <v>382</v>
      </c>
      <c r="D4" s="11" t="s">
        <v>383</v>
      </c>
      <c r="E4" s="11" t="s">
        <v>384</v>
      </c>
      <c r="F4" s="11" t="s">
        <v>385</v>
      </c>
      <c r="G4" s="11" t="s">
        <v>386</v>
      </c>
      <c r="H4" s="11" t="s">
        <v>387</v>
      </c>
      <c r="I4" s="11" t="s">
        <v>388</v>
      </c>
    </row>
    <row r="5" customFormat="false" ht="15" hidden="false" customHeight="false" outlineLevel="0" collapsed="false">
      <c r="A5" s="6" t="s">
        <v>389</v>
      </c>
      <c r="B5" s="6" t="n">
        <v>5</v>
      </c>
      <c r="C5" s="12" t="n">
        <v>1995</v>
      </c>
      <c r="D5" s="12" t="n">
        <f aca="false">C5/B5</f>
        <v>399</v>
      </c>
      <c r="E5" s="12" t="n">
        <v>699</v>
      </c>
      <c r="F5" s="12" t="n">
        <f aca="false">E5-D5</f>
        <v>300</v>
      </c>
      <c r="G5" s="12" t="n">
        <v>1995</v>
      </c>
      <c r="H5" s="6" t="s">
        <v>390</v>
      </c>
      <c r="I5" s="6" t="s">
        <v>391</v>
      </c>
    </row>
    <row r="6" customFormat="false" ht="23.85" hidden="false" customHeight="false" outlineLevel="0" collapsed="false">
      <c r="A6" s="6" t="s">
        <v>392</v>
      </c>
      <c r="B6" s="6" t="n">
        <v>15</v>
      </c>
      <c r="C6" s="12" t="n">
        <v>4485</v>
      </c>
      <c r="D6" s="12" t="n">
        <f aca="false">C6/B6</f>
        <v>299</v>
      </c>
      <c r="E6" s="12" t="n">
        <v>699</v>
      </c>
      <c r="F6" s="12" t="n">
        <f aca="false">E6-D6</f>
        <v>400</v>
      </c>
      <c r="G6" s="12" t="n">
        <v>4485</v>
      </c>
      <c r="H6" s="6" t="s">
        <v>393</v>
      </c>
      <c r="I6" s="6" t="s">
        <v>394</v>
      </c>
    </row>
    <row r="7" customFormat="false" ht="23.85" hidden="false" customHeight="false" outlineLevel="0" collapsed="false">
      <c r="A7" s="6" t="s">
        <v>395</v>
      </c>
      <c r="B7" s="6" t="n">
        <v>40</v>
      </c>
      <c r="C7" s="12" t="n">
        <v>9960</v>
      </c>
      <c r="D7" s="12" t="n">
        <f aca="false">C7/B7</f>
        <v>249</v>
      </c>
      <c r="E7" s="12" t="n">
        <v>699</v>
      </c>
      <c r="F7" s="12" t="n">
        <f aca="false">E7-D7</f>
        <v>450</v>
      </c>
      <c r="G7" s="12" t="n">
        <v>9960</v>
      </c>
      <c r="H7" s="6" t="s">
        <v>396</v>
      </c>
      <c r="I7" s="6" t="s">
        <v>397</v>
      </c>
    </row>
    <row r="8" customFormat="false" ht="23.85" hidden="false" customHeight="false" outlineLevel="0" collapsed="false">
      <c r="A8" s="6" t="s">
        <v>398</v>
      </c>
      <c r="B8" s="6" t="n">
        <v>0</v>
      </c>
      <c r="C8" s="12" t="n">
        <v>0</v>
      </c>
      <c r="D8" s="12"/>
      <c r="E8" s="12" t="n">
        <v>0</v>
      </c>
      <c r="F8" s="12"/>
      <c r="G8" s="12" t="n">
        <v>0</v>
      </c>
      <c r="H8" s="6" t="s">
        <v>399</v>
      </c>
      <c r="I8" s="6" t="s">
        <v>400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13" t="s">
        <v>401</v>
      </c>
      <c r="B11" s="13"/>
      <c r="C11" s="13"/>
      <c r="D11" s="13"/>
      <c r="E11" s="13"/>
      <c r="F11" s="13"/>
      <c r="G11" s="13"/>
      <c r="H11" s="13"/>
      <c r="I11" s="13"/>
    </row>
    <row r="12" customFormat="false" ht="23.85" hidden="false" customHeight="false" outlineLevel="0" collapsed="false">
      <c r="A12" s="6" t="s">
        <v>402</v>
      </c>
      <c r="B12" s="6" t="s">
        <v>403</v>
      </c>
      <c r="C12" s="6" t="s">
        <v>404</v>
      </c>
      <c r="D12" s="6" t="s">
        <v>405</v>
      </c>
      <c r="E12" s="6" t="s">
        <v>406</v>
      </c>
      <c r="F12" s="6" t="s">
        <v>407</v>
      </c>
      <c r="G12" s="6" t="s">
        <v>408</v>
      </c>
      <c r="H12" s="6" t="s">
        <v>409</v>
      </c>
      <c r="I12" s="6" t="s">
        <v>410</v>
      </c>
    </row>
    <row r="13" customFormat="false" ht="15" hidden="false" customHeight="false" outlineLevel="0" collapsed="false">
      <c r="A13" s="6" t="s">
        <v>411</v>
      </c>
      <c r="B13" s="6" t="s">
        <v>412</v>
      </c>
      <c r="C13" s="6" t="s">
        <v>413</v>
      </c>
      <c r="D13" s="6" t="s">
        <v>414</v>
      </c>
      <c r="E13" s="6" t="s">
        <v>415</v>
      </c>
      <c r="F13" s="6" t="s">
        <v>416</v>
      </c>
      <c r="G13" s="6"/>
      <c r="H13" s="6"/>
      <c r="I13" s="6"/>
    </row>
    <row r="14" customFormat="false" ht="23.85" hidden="false" customHeight="false" outlineLevel="0" collapsed="false">
      <c r="A14" s="6" t="s">
        <v>417</v>
      </c>
      <c r="B14" s="6" t="s">
        <v>418</v>
      </c>
      <c r="C14" s="6" t="s">
        <v>419</v>
      </c>
      <c r="D14" s="6" t="s">
        <v>420</v>
      </c>
      <c r="E14" s="6" t="s">
        <v>421</v>
      </c>
      <c r="F14" s="6" t="s">
        <v>422</v>
      </c>
      <c r="G14" s="6"/>
      <c r="H14" s="6"/>
      <c r="I14" s="6"/>
    </row>
    <row r="15" customFormat="false" ht="35.05" hidden="false" customHeight="false" outlineLevel="0" collapsed="false">
      <c r="A15" s="6" t="s">
        <v>423</v>
      </c>
      <c r="B15" s="6" t="s">
        <v>424</v>
      </c>
      <c r="C15" s="6" t="s">
        <v>425</v>
      </c>
      <c r="D15" s="6" t="s">
        <v>426</v>
      </c>
      <c r="E15" s="6" t="s">
        <v>427</v>
      </c>
      <c r="F15" s="6"/>
      <c r="G15" s="6"/>
      <c r="H15" s="6"/>
      <c r="I15" s="6"/>
    </row>
  </sheetData>
  <mergeCells count="2">
    <mergeCell ref="A1:I2"/>
    <mergeCell ref="A11:I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4" min="3" style="0" width="50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8" t="s">
        <v>23</v>
      </c>
      <c r="B1" s="8" t="s">
        <v>428</v>
      </c>
      <c r="C1" s="8" t="s">
        <v>429</v>
      </c>
      <c r="D1" s="8" t="s">
        <v>430</v>
      </c>
      <c r="E1" s="8" t="s">
        <v>35</v>
      </c>
    </row>
    <row r="2" customFormat="false" ht="23.85" hidden="false" customHeight="false" outlineLevel="0" collapsed="false">
      <c r="A2" s="6" t="s">
        <v>431</v>
      </c>
      <c r="B2" s="6" t="s">
        <v>78</v>
      </c>
      <c r="C2" s="6" t="s">
        <v>432</v>
      </c>
      <c r="D2" s="6" t="s">
        <v>433</v>
      </c>
      <c r="E2" s="6" t="s">
        <v>434</v>
      </c>
    </row>
    <row r="3" customFormat="false" ht="23.85" hidden="false" customHeight="false" outlineLevel="0" collapsed="false">
      <c r="A3" s="6" t="s">
        <v>435</v>
      </c>
      <c r="B3" s="6" t="s">
        <v>436</v>
      </c>
      <c r="C3" s="6" t="s">
        <v>437</v>
      </c>
      <c r="D3" s="6" t="s">
        <v>438</v>
      </c>
      <c r="E3" s="6" t="s">
        <v>439</v>
      </c>
    </row>
    <row r="4" customFormat="false" ht="23.85" hidden="false" customHeight="false" outlineLevel="0" collapsed="false">
      <c r="A4" s="6" t="s">
        <v>440</v>
      </c>
      <c r="B4" s="6" t="s">
        <v>441</v>
      </c>
      <c r="C4" s="6" t="s">
        <v>442</v>
      </c>
      <c r="D4" s="6" t="s">
        <v>443</v>
      </c>
      <c r="E4" s="6" t="s">
        <v>444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4" t="s">
        <v>445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4"/>
      <c r="B2" s="14"/>
      <c r="C2" s="14"/>
      <c r="D2" s="14"/>
      <c r="E2" s="14"/>
      <c r="F2" s="14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3.85" hidden="false" customHeight="false" outlineLevel="0" collapsed="false">
      <c r="A4" s="15" t="s">
        <v>446</v>
      </c>
      <c r="B4" s="6" t="s">
        <v>447</v>
      </c>
      <c r="C4" s="2"/>
      <c r="D4" s="2"/>
      <c r="E4" s="2"/>
      <c r="F4" s="2"/>
    </row>
    <row r="5" customFormat="false" ht="23.85" hidden="false" customHeight="false" outlineLevel="0" collapsed="false">
      <c r="A5" s="15" t="s">
        <v>448</v>
      </c>
      <c r="B5" s="6" t="s">
        <v>449</v>
      </c>
      <c r="C5" s="2"/>
      <c r="D5" s="2"/>
      <c r="E5" s="2"/>
      <c r="F5" s="2"/>
    </row>
    <row r="6" customFormat="false" ht="23.85" hidden="false" customHeight="false" outlineLevel="0" collapsed="false">
      <c r="A6" s="15" t="s">
        <v>450</v>
      </c>
      <c r="B6" s="6" t="s">
        <v>451</v>
      </c>
      <c r="C6" s="2"/>
      <c r="D6" s="2"/>
      <c r="E6" s="2"/>
      <c r="F6" s="2"/>
    </row>
    <row r="7" customFormat="false" ht="23.85" hidden="false" customHeight="false" outlineLevel="0" collapsed="false">
      <c r="A7" s="15" t="s">
        <v>32</v>
      </c>
      <c r="B7" s="6" t="s">
        <v>452</v>
      </c>
      <c r="C7" s="2"/>
      <c r="D7" s="2"/>
      <c r="E7" s="2"/>
      <c r="F7" s="2"/>
    </row>
    <row r="8" customFormat="false" ht="23.85" hidden="false" customHeight="false" outlineLevel="0" collapsed="false">
      <c r="A8" s="15" t="s">
        <v>31</v>
      </c>
      <c r="B8" s="6" t="s">
        <v>453</v>
      </c>
      <c r="C8" s="2"/>
      <c r="D8" s="2"/>
      <c r="E8" s="2"/>
      <c r="F8" s="2"/>
    </row>
    <row r="9" customFormat="false" ht="23.85" hidden="false" customHeight="false" outlineLevel="0" collapsed="false">
      <c r="A9" s="15" t="s">
        <v>454</v>
      </c>
      <c r="B9" s="6" t="s">
        <v>455</v>
      </c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16" t="s">
        <v>456</v>
      </c>
      <c r="B12" s="6" t="s">
        <v>457</v>
      </c>
      <c r="C12" s="2"/>
      <c r="D12" s="2"/>
      <c r="E12" s="2"/>
      <c r="F12" s="2"/>
    </row>
    <row r="13" customFormat="false" ht="23.85" hidden="false" customHeight="false" outlineLevel="0" collapsed="false">
      <c r="A13" s="16" t="s">
        <v>458</v>
      </c>
      <c r="B13" s="6" t="s">
        <v>459</v>
      </c>
      <c r="C13" s="2"/>
      <c r="D13" s="2"/>
      <c r="E13" s="2"/>
      <c r="F13" s="2"/>
    </row>
    <row r="14" customFormat="false" ht="23.85" hidden="false" customHeight="false" outlineLevel="0" collapsed="false">
      <c r="A14" s="16" t="s">
        <v>460</v>
      </c>
      <c r="B14" s="6" t="s">
        <v>461</v>
      </c>
      <c r="C14" s="2"/>
      <c r="D14" s="2"/>
      <c r="E14" s="2"/>
      <c r="F14" s="2"/>
    </row>
    <row r="15" customFormat="false" ht="15" hidden="false" customHeight="false" outlineLevel="0" collapsed="false">
      <c r="A15" s="16" t="s">
        <v>462</v>
      </c>
      <c r="B15" s="6" t="s">
        <v>21</v>
      </c>
      <c r="C15" s="2"/>
      <c r="D15" s="2"/>
      <c r="E15" s="2"/>
      <c r="F15" s="2"/>
    </row>
    <row r="16" customFormat="false" ht="15" hidden="false" customHeight="false" outlineLevel="0" collapsed="false">
      <c r="A16" s="16" t="s">
        <v>463</v>
      </c>
      <c r="B16" s="6" t="s">
        <v>464</v>
      </c>
      <c r="C16" s="2"/>
      <c r="D16" s="2"/>
      <c r="E16" s="2"/>
      <c r="F16" s="2"/>
    </row>
  </sheetData>
  <mergeCells count="1">
    <mergeCell ref="A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2026-06-30T14:07:51Z</dcterms:modified>
  <cp:revision>1</cp:revision>
  <dc:subject/>
  <dc:title/>
</cp:coreProperties>
</file>